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SnD/Database/archives/"/>
    </mc:Choice>
  </mc:AlternateContent>
  <xr:revisionPtr revIDLastSave="14" documentId="8_{8D069F99-574E-4DB0-8E99-2F1F3EFB54F4}" xr6:coauthVersionLast="47" xr6:coauthVersionMax="47" xr10:uidLastSave="{656DF708-FF17-4A39-B298-1EEEEA9064E5}"/>
  <bookViews>
    <workbookView xWindow="57480" yWindow="-120" windowWidth="29040" windowHeight="15720" firstSheet="2" activeTab="3" xr2:uid="{A0D6BA4B-498E-4F50-9A37-F91E26CF17CC}"/>
  </bookViews>
  <sheets>
    <sheet name="Sheet1" sheetId="1" r:id="rId1"/>
    <sheet name="Dashboard" sheetId="2" r:id="rId2"/>
    <sheet name="Historical backend" sheetId="3" r:id="rId3"/>
    <sheet name="HISTORICAL" sheetId="4" r:id="rId4"/>
    <sheet name="Sheet2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D364" i="4"/>
  <c r="C364" i="4"/>
  <c r="E364" i="4" s="1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D284" i="4"/>
  <c r="C284" i="4"/>
  <c r="E284" i="4" s="1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D271" i="4"/>
  <c r="B271" i="4"/>
  <c r="A271" i="4"/>
  <c r="C271" i="4" s="1"/>
  <c r="E271" i="4" s="1"/>
  <c r="B270" i="4"/>
  <c r="A270" i="4"/>
  <c r="B269" i="4"/>
  <c r="A269" i="4"/>
  <c r="D268" i="4"/>
  <c r="B268" i="4"/>
  <c r="A268" i="4"/>
  <c r="C268" i="4" s="1"/>
  <c r="E268" i="4" s="1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C257" i="4"/>
  <c r="E257" i="4" s="1"/>
  <c r="B257" i="4"/>
  <c r="A257" i="4"/>
  <c r="D257" i="4" s="1"/>
  <c r="B256" i="4"/>
  <c r="A256" i="4"/>
  <c r="B255" i="4"/>
  <c r="A255" i="4"/>
  <c r="B254" i="4"/>
  <c r="A254" i="4"/>
  <c r="B253" i="4"/>
  <c r="A253" i="4"/>
  <c r="D252" i="4"/>
  <c r="B252" i="4"/>
  <c r="A252" i="4"/>
  <c r="C252" i="4" s="1"/>
  <c r="E252" i="4" s="1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D236" i="4"/>
  <c r="B236" i="4"/>
  <c r="A236" i="4"/>
  <c r="C236" i="4" s="1"/>
  <c r="E236" i="4" s="1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C86" i="4"/>
  <c r="E86" i="4" s="1"/>
  <c r="B86" i="4"/>
  <c r="A86" i="4"/>
  <c r="D86" i="4" s="1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C71" i="4"/>
  <c r="E71" i="4" s="1"/>
  <c r="B71" i="4"/>
  <c r="A71" i="4"/>
  <c r="D71" i="4" s="1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C56" i="4"/>
  <c r="E56" i="4" s="1"/>
  <c r="B56" i="4"/>
  <c r="A56" i="4"/>
  <c r="D56" i="4" s="1"/>
  <c r="B55" i="4"/>
  <c r="A55" i="4"/>
  <c r="B54" i="4"/>
  <c r="A54" i="4"/>
  <c r="B53" i="4"/>
  <c r="A53" i="4"/>
  <c r="B52" i="4"/>
  <c r="A52" i="4"/>
  <c r="C51" i="4"/>
  <c r="E51" i="4" s="1"/>
  <c r="B51" i="4"/>
  <c r="A51" i="4"/>
  <c r="D51" i="4" s="1"/>
  <c r="B50" i="4"/>
  <c r="A50" i="4"/>
  <c r="C49" i="4"/>
  <c r="E49" i="4" s="1"/>
  <c r="B49" i="4"/>
  <c r="A49" i="4"/>
  <c r="D49" i="4" s="1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C3" i="4"/>
  <c r="E3" i="4" s="1"/>
  <c r="B3" i="4"/>
  <c r="A3" i="4"/>
  <c r="D3" i="4" s="1"/>
  <c r="A2" i="4"/>
  <c r="K4" i="3"/>
  <c r="F4" i="3"/>
  <c r="A4" i="3"/>
  <c r="A10" i="2"/>
  <c r="A9" i="2"/>
  <c r="A8" i="2"/>
  <c r="A7" i="2"/>
  <c r="A6" i="2"/>
  <c r="A5" i="2"/>
  <c r="A4" i="2"/>
  <c r="E10" i="2"/>
  <c r="D10" i="2"/>
  <c r="C10" i="2"/>
  <c r="D9" i="2"/>
  <c r="E9" i="2" s="1"/>
  <c r="C9" i="2"/>
  <c r="E8" i="2"/>
  <c r="D8" i="2"/>
  <c r="C8" i="2"/>
  <c r="D7" i="2"/>
  <c r="E7" i="2" s="1"/>
  <c r="C7" i="2"/>
  <c r="D6" i="2"/>
  <c r="E6" i="2" s="1"/>
  <c r="C6" i="2"/>
  <c r="E5" i="2"/>
  <c r="D5" i="2"/>
  <c r="C5" i="2"/>
  <c r="C4" i="2"/>
  <c r="B4" i="2"/>
  <c r="C44" i="1"/>
  <c r="C41" i="1"/>
  <c r="C38" i="1"/>
  <c r="C35" i="1"/>
  <c r="C32" i="1"/>
  <c r="C29" i="1"/>
  <c r="I26" i="1"/>
  <c r="I25" i="1"/>
  <c r="I24" i="1"/>
  <c r="I23" i="1"/>
  <c r="I22" i="1"/>
  <c r="C25" i="1"/>
  <c r="Q20" i="1"/>
  <c r="P20" i="1"/>
  <c r="O20" i="1"/>
  <c r="N20" i="1"/>
  <c r="M20" i="1"/>
  <c r="H11" i="1"/>
  <c r="G11" i="1"/>
  <c r="F11" i="1"/>
  <c r="E11" i="1" s="1"/>
  <c r="D11" i="1"/>
  <c r="B11" i="1"/>
  <c r="C11" i="1" s="1"/>
  <c r="H10" i="1"/>
  <c r="G10" i="1"/>
  <c r="F10" i="1"/>
  <c r="E10" i="1" s="1"/>
  <c r="D10" i="1"/>
  <c r="B10" i="1"/>
  <c r="C10" i="1" s="1"/>
  <c r="H9" i="1"/>
  <c r="G9" i="1"/>
  <c r="F9" i="1"/>
  <c r="E9" i="1" s="1"/>
  <c r="D9" i="1"/>
  <c r="B9" i="1"/>
  <c r="C9" i="1" s="1"/>
  <c r="H8" i="1"/>
  <c r="G8" i="1"/>
  <c r="F8" i="1"/>
  <c r="E8" i="1" s="1"/>
  <c r="D8" i="1"/>
  <c r="B8" i="1"/>
  <c r="C8" i="1" s="1"/>
  <c r="H7" i="1"/>
  <c r="G7" i="1"/>
  <c r="F7" i="1"/>
  <c r="E7" i="1" s="1"/>
  <c r="D7" i="1"/>
  <c r="B7" i="1"/>
  <c r="C7" i="1" s="1"/>
  <c r="H6" i="1"/>
  <c r="G6" i="1"/>
  <c r="F6" i="1"/>
  <c r="E6" i="1" s="1"/>
  <c r="D6" i="1"/>
  <c r="B6" i="1"/>
  <c r="C6" i="1" s="1"/>
  <c r="D395" i="4" l="1"/>
  <c r="C395" i="4"/>
  <c r="E395" i="4" s="1"/>
  <c r="D394" i="4"/>
  <c r="C394" i="4"/>
  <c r="E394" i="4" s="1"/>
  <c r="D393" i="4"/>
  <c r="C393" i="4"/>
  <c r="E393" i="4" s="1"/>
  <c r="D392" i="4"/>
  <c r="C392" i="4"/>
  <c r="E392" i="4" s="1"/>
  <c r="D391" i="4"/>
  <c r="C391" i="4"/>
  <c r="E391" i="4" s="1"/>
  <c r="D390" i="4"/>
  <c r="C390" i="4"/>
  <c r="E390" i="4" s="1"/>
  <c r="D389" i="4"/>
  <c r="C389" i="4"/>
  <c r="E389" i="4" s="1"/>
  <c r="D388" i="4"/>
  <c r="C388" i="4"/>
  <c r="E388" i="4" s="1"/>
  <c r="D387" i="4"/>
  <c r="C387" i="4"/>
  <c r="E387" i="4" s="1"/>
  <c r="D386" i="4"/>
  <c r="C386" i="4"/>
  <c r="E386" i="4" s="1"/>
  <c r="D385" i="4"/>
  <c r="C385" i="4"/>
  <c r="E385" i="4" s="1"/>
  <c r="D384" i="4"/>
  <c r="C384" i="4"/>
  <c r="E384" i="4" s="1"/>
  <c r="D383" i="4"/>
  <c r="C383" i="4"/>
  <c r="E383" i="4" s="1"/>
  <c r="D382" i="4"/>
  <c r="C382" i="4"/>
  <c r="E382" i="4" s="1"/>
  <c r="D381" i="4"/>
  <c r="C381" i="4"/>
  <c r="E381" i="4" s="1"/>
  <c r="D380" i="4"/>
  <c r="C380" i="4"/>
  <c r="E380" i="4" s="1"/>
  <c r="D379" i="4"/>
  <c r="C379" i="4"/>
  <c r="E379" i="4" s="1"/>
  <c r="D378" i="4"/>
  <c r="C378" i="4"/>
  <c r="E378" i="4" s="1"/>
  <c r="D377" i="4"/>
  <c r="C377" i="4"/>
  <c r="E377" i="4" s="1"/>
  <c r="D376" i="4"/>
  <c r="C376" i="4"/>
  <c r="E376" i="4" s="1"/>
  <c r="D375" i="4"/>
  <c r="C375" i="4"/>
  <c r="E375" i="4" s="1"/>
  <c r="D374" i="4"/>
  <c r="C374" i="4"/>
  <c r="E374" i="4" s="1"/>
  <c r="D373" i="4"/>
  <c r="C373" i="4"/>
  <c r="E373" i="4" s="1"/>
  <c r="D372" i="4"/>
  <c r="C372" i="4"/>
  <c r="E372" i="4" s="1"/>
  <c r="D371" i="4"/>
  <c r="C371" i="4"/>
  <c r="E371" i="4" s="1"/>
  <c r="D370" i="4"/>
  <c r="C370" i="4"/>
  <c r="E370" i="4" s="1"/>
  <c r="D369" i="4"/>
  <c r="C369" i="4"/>
  <c r="E369" i="4" s="1"/>
  <c r="D368" i="4"/>
  <c r="C368" i="4"/>
  <c r="E368" i="4" s="1"/>
  <c r="D367" i="4"/>
  <c r="C367" i="4"/>
  <c r="E367" i="4" s="1"/>
  <c r="D366" i="4"/>
  <c r="C366" i="4"/>
  <c r="E366" i="4" s="1"/>
  <c r="D365" i="4"/>
  <c r="C365" i="4"/>
  <c r="E365" i="4" s="1"/>
  <c r="F364" i="4"/>
  <c r="G364" i="4"/>
  <c r="D363" i="4"/>
  <c r="C363" i="4"/>
  <c r="E363" i="4" s="1"/>
  <c r="D362" i="4"/>
  <c r="C362" i="4"/>
  <c r="E362" i="4" s="1"/>
  <c r="D361" i="4"/>
  <c r="C361" i="4"/>
  <c r="E361" i="4" s="1"/>
  <c r="D360" i="4"/>
  <c r="C360" i="4"/>
  <c r="E360" i="4" s="1"/>
  <c r="D359" i="4"/>
  <c r="C359" i="4"/>
  <c r="E359" i="4" s="1"/>
  <c r="D358" i="4"/>
  <c r="C358" i="4"/>
  <c r="E358" i="4" s="1"/>
  <c r="D357" i="4"/>
  <c r="C357" i="4"/>
  <c r="E357" i="4" s="1"/>
  <c r="D356" i="4"/>
  <c r="C356" i="4"/>
  <c r="E356" i="4" s="1"/>
  <c r="D355" i="4"/>
  <c r="C355" i="4"/>
  <c r="E355" i="4" s="1"/>
  <c r="D354" i="4"/>
  <c r="C354" i="4"/>
  <c r="E354" i="4" s="1"/>
  <c r="D353" i="4"/>
  <c r="C353" i="4"/>
  <c r="E353" i="4" s="1"/>
  <c r="D352" i="4"/>
  <c r="C352" i="4"/>
  <c r="E352" i="4" s="1"/>
  <c r="D351" i="4"/>
  <c r="C351" i="4"/>
  <c r="E351" i="4" s="1"/>
  <c r="D350" i="4"/>
  <c r="C350" i="4"/>
  <c r="E350" i="4" s="1"/>
  <c r="D349" i="4"/>
  <c r="C349" i="4"/>
  <c r="E349" i="4" s="1"/>
  <c r="C348" i="4"/>
  <c r="E348" i="4" s="1"/>
  <c r="D348" i="4"/>
  <c r="D347" i="4"/>
  <c r="C347" i="4"/>
  <c r="E347" i="4" s="1"/>
  <c r="D346" i="4"/>
  <c r="C346" i="4"/>
  <c r="E346" i="4" s="1"/>
  <c r="C345" i="4"/>
  <c r="E345" i="4" s="1"/>
  <c r="D345" i="4"/>
  <c r="D344" i="4"/>
  <c r="C344" i="4"/>
  <c r="E344" i="4" s="1"/>
  <c r="D343" i="4"/>
  <c r="C343" i="4"/>
  <c r="E343" i="4" s="1"/>
  <c r="D342" i="4"/>
  <c r="C342" i="4"/>
  <c r="E342" i="4" s="1"/>
  <c r="D341" i="4"/>
  <c r="C341" i="4"/>
  <c r="E341" i="4" s="1"/>
  <c r="D340" i="4"/>
  <c r="C340" i="4"/>
  <c r="E340" i="4" s="1"/>
  <c r="C339" i="4"/>
  <c r="E339" i="4" s="1"/>
  <c r="D339" i="4"/>
  <c r="D338" i="4"/>
  <c r="C338" i="4"/>
  <c r="E338" i="4" s="1"/>
  <c r="C337" i="4"/>
  <c r="E337" i="4" s="1"/>
  <c r="D337" i="4"/>
  <c r="D336" i="4"/>
  <c r="C336" i="4"/>
  <c r="E336" i="4" s="1"/>
  <c r="D335" i="4"/>
  <c r="C335" i="4"/>
  <c r="E335" i="4" s="1"/>
  <c r="D334" i="4"/>
  <c r="C334" i="4"/>
  <c r="E334" i="4" s="1"/>
  <c r="D333" i="4"/>
  <c r="C333" i="4"/>
  <c r="E333" i="4" s="1"/>
  <c r="D332" i="4"/>
  <c r="C332" i="4"/>
  <c r="E332" i="4" s="1"/>
  <c r="D331" i="4"/>
  <c r="C331" i="4"/>
  <c r="E331" i="4" s="1"/>
  <c r="D330" i="4"/>
  <c r="C330" i="4"/>
  <c r="E330" i="4" s="1"/>
  <c r="D329" i="4"/>
  <c r="C329" i="4"/>
  <c r="E329" i="4" s="1"/>
  <c r="D328" i="4"/>
  <c r="C328" i="4"/>
  <c r="E328" i="4" s="1"/>
  <c r="D327" i="4"/>
  <c r="C327" i="4"/>
  <c r="E327" i="4" s="1"/>
  <c r="D326" i="4"/>
  <c r="C326" i="4"/>
  <c r="E326" i="4" s="1"/>
  <c r="D325" i="4"/>
  <c r="C325" i="4"/>
  <c r="E325" i="4" s="1"/>
  <c r="D324" i="4"/>
  <c r="C324" i="4"/>
  <c r="E324" i="4" s="1"/>
  <c r="D323" i="4"/>
  <c r="C323" i="4"/>
  <c r="E323" i="4" s="1"/>
  <c r="D322" i="4"/>
  <c r="C322" i="4"/>
  <c r="E322" i="4" s="1"/>
  <c r="D321" i="4"/>
  <c r="C321" i="4"/>
  <c r="E321" i="4" s="1"/>
  <c r="D320" i="4"/>
  <c r="C320" i="4"/>
  <c r="E320" i="4" s="1"/>
  <c r="D319" i="4"/>
  <c r="C319" i="4"/>
  <c r="E319" i="4" s="1"/>
  <c r="D318" i="4"/>
  <c r="C318" i="4"/>
  <c r="E318" i="4" s="1"/>
  <c r="D317" i="4"/>
  <c r="C317" i="4"/>
  <c r="E317" i="4" s="1"/>
  <c r="D316" i="4"/>
  <c r="C316" i="4"/>
  <c r="E316" i="4" s="1"/>
  <c r="D315" i="4"/>
  <c r="C315" i="4"/>
  <c r="E315" i="4" s="1"/>
  <c r="D314" i="4"/>
  <c r="C314" i="4"/>
  <c r="E314" i="4" s="1"/>
  <c r="D313" i="4"/>
  <c r="C313" i="4"/>
  <c r="E313" i="4" s="1"/>
  <c r="D312" i="4"/>
  <c r="C312" i="4"/>
  <c r="E312" i="4" s="1"/>
  <c r="D311" i="4"/>
  <c r="C311" i="4"/>
  <c r="E311" i="4" s="1"/>
  <c r="D310" i="4"/>
  <c r="C310" i="4"/>
  <c r="E310" i="4" s="1"/>
  <c r="D309" i="4"/>
  <c r="C309" i="4"/>
  <c r="E309" i="4" s="1"/>
  <c r="D308" i="4"/>
  <c r="C308" i="4"/>
  <c r="E308" i="4" s="1"/>
  <c r="D307" i="4"/>
  <c r="C307" i="4"/>
  <c r="E307" i="4" s="1"/>
  <c r="D306" i="4"/>
  <c r="C306" i="4"/>
  <c r="E306" i="4" s="1"/>
  <c r="D305" i="4"/>
  <c r="C305" i="4"/>
  <c r="E305" i="4" s="1"/>
  <c r="D304" i="4"/>
  <c r="C304" i="4"/>
  <c r="E304" i="4" s="1"/>
  <c r="D303" i="4"/>
  <c r="C303" i="4"/>
  <c r="E303" i="4" s="1"/>
  <c r="D302" i="4"/>
  <c r="C302" i="4"/>
  <c r="E302" i="4" s="1"/>
  <c r="D301" i="4"/>
  <c r="C301" i="4"/>
  <c r="E301" i="4" s="1"/>
  <c r="C300" i="4"/>
  <c r="E300" i="4" s="1"/>
  <c r="D300" i="4"/>
  <c r="D299" i="4"/>
  <c r="C299" i="4"/>
  <c r="E299" i="4" s="1"/>
  <c r="D298" i="4"/>
  <c r="C298" i="4"/>
  <c r="E298" i="4" s="1"/>
  <c r="C297" i="4"/>
  <c r="E297" i="4" s="1"/>
  <c r="D297" i="4"/>
  <c r="D296" i="4"/>
  <c r="C296" i="4"/>
  <c r="E296" i="4" s="1"/>
  <c r="D295" i="4"/>
  <c r="C295" i="4"/>
  <c r="E295" i="4" s="1"/>
  <c r="D294" i="4"/>
  <c r="C294" i="4"/>
  <c r="E294" i="4" s="1"/>
  <c r="D293" i="4"/>
  <c r="C293" i="4"/>
  <c r="E293" i="4" s="1"/>
  <c r="D292" i="4"/>
  <c r="C292" i="4"/>
  <c r="E292" i="4" s="1"/>
  <c r="D291" i="4"/>
  <c r="C291" i="4"/>
  <c r="E291" i="4" s="1"/>
  <c r="D290" i="4"/>
  <c r="C290" i="4"/>
  <c r="E290" i="4" s="1"/>
  <c r="D289" i="4"/>
  <c r="C289" i="4"/>
  <c r="E289" i="4" s="1"/>
  <c r="D288" i="4"/>
  <c r="C288" i="4"/>
  <c r="E288" i="4" s="1"/>
  <c r="D287" i="4"/>
  <c r="C287" i="4"/>
  <c r="E287" i="4" s="1"/>
  <c r="D286" i="4"/>
  <c r="C286" i="4"/>
  <c r="E286" i="4" s="1"/>
  <c r="D285" i="4"/>
  <c r="C285" i="4"/>
  <c r="E285" i="4" s="1"/>
  <c r="F284" i="4"/>
  <c r="G284" i="4"/>
  <c r="D283" i="4"/>
  <c r="C283" i="4"/>
  <c r="E283" i="4" s="1"/>
  <c r="C282" i="4"/>
  <c r="E282" i="4" s="1"/>
  <c r="D282" i="4"/>
  <c r="C281" i="4"/>
  <c r="E281" i="4" s="1"/>
  <c r="D281" i="4"/>
  <c r="C280" i="4"/>
  <c r="E280" i="4" s="1"/>
  <c r="D280" i="4"/>
  <c r="C279" i="4"/>
  <c r="E279" i="4" s="1"/>
  <c r="D279" i="4"/>
  <c r="D278" i="4"/>
  <c r="C278" i="4"/>
  <c r="E278" i="4" s="1"/>
  <c r="D277" i="4"/>
  <c r="C277" i="4"/>
  <c r="E277" i="4" s="1"/>
  <c r="D276" i="4"/>
  <c r="C276" i="4"/>
  <c r="E276" i="4" s="1"/>
  <c r="D275" i="4"/>
  <c r="C275" i="4"/>
  <c r="E275" i="4" s="1"/>
  <c r="C274" i="4"/>
  <c r="E274" i="4" s="1"/>
  <c r="D274" i="4"/>
  <c r="D273" i="4"/>
  <c r="C273" i="4"/>
  <c r="E273" i="4" s="1"/>
  <c r="D272" i="4"/>
  <c r="C272" i="4"/>
  <c r="E272" i="4" s="1"/>
  <c r="F271" i="4"/>
  <c r="G271" i="4"/>
  <c r="C270" i="4"/>
  <c r="E270" i="4" s="1"/>
  <c r="D270" i="4"/>
  <c r="C269" i="4"/>
  <c r="E269" i="4" s="1"/>
  <c r="D269" i="4"/>
  <c r="F268" i="4"/>
  <c r="G268" i="4"/>
  <c r="D267" i="4"/>
  <c r="C267" i="4"/>
  <c r="E267" i="4" s="1"/>
  <c r="D266" i="4"/>
  <c r="C266" i="4"/>
  <c r="E266" i="4" s="1"/>
  <c r="D265" i="4"/>
  <c r="C265" i="4"/>
  <c r="E265" i="4" s="1"/>
  <c r="D264" i="4"/>
  <c r="C264" i="4"/>
  <c r="E264" i="4" s="1"/>
  <c r="D263" i="4"/>
  <c r="C263" i="4"/>
  <c r="E263" i="4" s="1"/>
  <c r="D262" i="4"/>
  <c r="C262" i="4"/>
  <c r="E262" i="4" s="1"/>
  <c r="D261" i="4"/>
  <c r="C261" i="4"/>
  <c r="E261" i="4" s="1"/>
  <c r="D260" i="4"/>
  <c r="C260" i="4"/>
  <c r="E260" i="4" s="1"/>
  <c r="C259" i="4"/>
  <c r="E259" i="4" s="1"/>
  <c r="D259" i="4"/>
  <c r="D258" i="4"/>
  <c r="C258" i="4"/>
  <c r="E258" i="4" s="1"/>
  <c r="F257" i="4"/>
  <c r="G257" i="4"/>
  <c r="C256" i="4"/>
  <c r="E256" i="4" s="1"/>
  <c r="D256" i="4"/>
  <c r="C255" i="4"/>
  <c r="E255" i="4" s="1"/>
  <c r="D255" i="4"/>
  <c r="C254" i="4"/>
  <c r="E254" i="4" s="1"/>
  <c r="D254" i="4"/>
  <c r="C253" i="4"/>
  <c r="E253" i="4" s="1"/>
  <c r="D253" i="4"/>
  <c r="F252" i="4"/>
  <c r="G252" i="4"/>
  <c r="D251" i="4"/>
  <c r="C251" i="4"/>
  <c r="E251" i="4" s="1"/>
  <c r="D250" i="4"/>
  <c r="C250" i="4"/>
  <c r="E250" i="4" s="1"/>
  <c r="D249" i="4"/>
  <c r="C249" i="4"/>
  <c r="E249" i="4" s="1"/>
  <c r="D248" i="4"/>
  <c r="C248" i="4"/>
  <c r="E248" i="4" s="1"/>
  <c r="D247" i="4"/>
  <c r="C247" i="4"/>
  <c r="E247" i="4" s="1"/>
  <c r="D246" i="4"/>
  <c r="C246" i="4"/>
  <c r="E246" i="4" s="1"/>
  <c r="D245" i="4"/>
  <c r="C245" i="4"/>
  <c r="E245" i="4" s="1"/>
  <c r="D244" i="4"/>
  <c r="C244" i="4"/>
  <c r="E244" i="4" s="1"/>
  <c r="D243" i="4"/>
  <c r="C243" i="4"/>
  <c r="E243" i="4" s="1"/>
  <c r="D242" i="4"/>
  <c r="C242" i="4"/>
  <c r="E242" i="4" s="1"/>
  <c r="D241" i="4"/>
  <c r="C241" i="4"/>
  <c r="E241" i="4" s="1"/>
  <c r="D240" i="4"/>
  <c r="C240" i="4"/>
  <c r="E240" i="4" s="1"/>
  <c r="D239" i="4"/>
  <c r="C239" i="4"/>
  <c r="E239" i="4" s="1"/>
  <c r="D238" i="4"/>
  <c r="C238" i="4"/>
  <c r="E238" i="4" s="1"/>
  <c r="D237" i="4"/>
  <c r="C237" i="4"/>
  <c r="E237" i="4" s="1"/>
  <c r="G236" i="4"/>
  <c r="F236" i="4"/>
  <c r="D235" i="4"/>
  <c r="C235" i="4"/>
  <c r="E235" i="4" s="1"/>
  <c r="D234" i="4"/>
  <c r="C234" i="4"/>
  <c r="E234" i="4" s="1"/>
  <c r="D233" i="4"/>
  <c r="C233" i="4"/>
  <c r="E233" i="4" s="1"/>
  <c r="D232" i="4"/>
  <c r="C232" i="4"/>
  <c r="E232" i="4" s="1"/>
  <c r="D231" i="4"/>
  <c r="C231" i="4"/>
  <c r="E231" i="4" s="1"/>
  <c r="D230" i="4"/>
  <c r="C230" i="4"/>
  <c r="E230" i="4" s="1"/>
  <c r="D229" i="4"/>
  <c r="C229" i="4"/>
  <c r="E229" i="4" s="1"/>
  <c r="D228" i="4"/>
  <c r="C228" i="4"/>
  <c r="E228" i="4" s="1"/>
  <c r="D227" i="4"/>
  <c r="C227" i="4"/>
  <c r="E227" i="4" s="1"/>
  <c r="D226" i="4"/>
  <c r="C226" i="4"/>
  <c r="E226" i="4" s="1"/>
  <c r="D225" i="4"/>
  <c r="C225" i="4"/>
  <c r="E225" i="4" s="1"/>
  <c r="D224" i="4"/>
  <c r="C224" i="4"/>
  <c r="E224" i="4" s="1"/>
  <c r="D223" i="4"/>
  <c r="C223" i="4"/>
  <c r="E223" i="4" s="1"/>
  <c r="C222" i="4"/>
  <c r="E222" i="4" s="1"/>
  <c r="D222" i="4"/>
  <c r="C221" i="4"/>
  <c r="E221" i="4" s="1"/>
  <c r="D221" i="4"/>
  <c r="C220" i="4"/>
  <c r="E220" i="4" s="1"/>
  <c r="D220" i="4"/>
  <c r="C219" i="4"/>
  <c r="E219" i="4" s="1"/>
  <c r="D219" i="4"/>
  <c r="D218" i="4"/>
  <c r="C218" i="4"/>
  <c r="E218" i="4" s="1"/>
  <c r="D217" i="4"/>
  <c r="C217" i="4"/>
  <c r="E217" i="4" s="1"/>
  <c r="C216" i="4"/>
  <c r="E216" i="4" s="1"/>
  <c r="D216" i="4"/>
  <c r="D215" i="4"/>
  <c r="C215" i="4"/>
  <c r="E215" i="4" s="1"/>
  <c r="D214" i="4"/>
  <c r="C214" i="4"/>
  <c r="E214" i="4" s="1"/>
  <c r="C213" i="4"/>
  <c r="E213" i="4" s="1"/>
  <c r="D213" i="4"/>
  <c r="C212" i="4"/>
  <c r="E212" i="4" s="1"/>
  <c r="D212" i="4"/>
  <c r="C211" i="4"/>
  <c r="E211" i="4" s="1"/>
  <c r="D211" i="4"/>
  <c r="C210" i="4"/>
  <c r="E210" i="4" s="1"/>
  <c r="D210" i="4"/>
  <c r="D209" i="4"/>
  <c r="C209" i="4"/>
  <c r="E209" i="4" s="1"/>
  <c r="C208" i="4"/>
  <c r="E208" i="4" s="1"/>
  <c r="D208" i="4"/>
  <c r="C207" i="4"/>
  <c r="E207" i="4" s="1"/>
  <c r="D207" i="4"/>
  <c r="C206" i="4"/>
  <c r="E206" i="4" s="1"/>
  <c r="D206" i="4"/>
  <c r="C205" i="4"/>
  <c r="E205" i="4" s="1"/>
  <c r="D205" i="4"/>
  <c r="C204" i="4"/>
  <c r="E204" i="4" s="1"/>
  <c r="D204" i="4"/>
  <c r="D203" i="4"/>
  <c r="C203" i="4"/>
  <c r="E203" i="4" s="1"/>
  <c r="D202" i="4"/>
  <c r="C202" i="4"/>
  <c r="E202" i="4" s="1"/>
  <c r="D201" i="4"/>
  <c r="C201" i="4"/>
  <c r="E201" i="4" s="1"/>
  <c r="C200" i="4"/>
  <c r="E200" i="4" s="1"/>
  <c r="D200" i="4"/>
  <c r="D199" i="4"/>
  <c r="C199" i="4"/>
  <c r="E199" i="4" s="1"/>
  <c r="D198" i="4"/>
  <c r="C198" i="4"/>
  <c r="E198" i="4" s="1"/>
  <c r="D197" i="4"/>
  <c r="C197" i="4"/>
  <c r="E197" i="4" s="1"/>
  <c r="C196" i="4"/>
  <c r="E196" i="4" s="1"/>
  <c r="D196" i="4"/>
  <c r="D195" i="4"/>
  <c r="C195" i="4"/>
  <c r="E195" i="4" s="1"/>
  <c r="D194" i="4"/>
  <c r="C194" i="4"/>
  <c r="E194" i="4" s="1"/>
  <c r="D193" i="4"/>
  <c r="C193" i="4"/>
  <c r="E193" i="4" s="1"/>
  <c r="D192" i="4"/>
  <c r="C192" i="4"/>
  <c r="E192" i="4" s="1"/>
  <c r="D191" i="4"/>
  <c r="C191" i="4"/>
  <c r="E191" i="4" s="1"/>
  <c r="D190" i="4"/>
  <c r="C190" i="4"/>
  <c r="E190" i="4" s="1"/>
  <c r="C189" i="4"/>
  <c r="E189" i="4" s="1"/>
  <c r="D189" i="4"/>
  <c r="C188" i="4"/>
  <c r="E188" i="4" s="1"/>
  <c r="D188" i="4"/>
  <c r="D187" i="4"/>
  <c r="C187" i="4"/>
  <c r="E187" i="4" s="1"/>
  <c r="C186" i="4"/>
  <c r="E186" i="4" s="1"/>
  <c r="D186" i="4"/>
  <c r="D185" i="4"/>
  <c r="C185" i="4"/>
  <c r="E185" i="4" s="1"/>
  <c r="D184" i="4"/>
  <c r="C184" i="4"/>
  <c r="E184" i="4" s="1"/>
  <c r="D183" i="4"/>
  <c r="C183" i="4"/>
  <c r="E183" i="4" s="1"/>
  <c r="C182" i="4"/>
  <c r="E182" i="4" s="1"/>
  <c r="D182" i="4"/>
  <c r="D181" i="4"/>
  <c r="C181" i="4"/>
  <c r="E181" i="4" s="1"/>
  <c r="C180" i="4"/>
  <c r="E180" i="4" s="1"/>
  <c r="D180" i="4"/>
  <c r="C179" i="4"/>
  <c r="E179" i="4" s="1"/>
  <c r="D179" i="4"/>
  <c r="C178" i="4"/>
  <c r="E178" i="4" s="1"/>
  <c r="D178" i="4"/>
  <c r="D177" i="4"/>
  <c r="C177" i="4"/>
  <c r="E177" i="4" s="1"/>
  <c r="D176" i="4"/>
  <c r="C176" i="4"/>
  <c r="E176" i="4" s="1"/>
  <c r="D175" i="4"/>
  <c r="C175" i="4"/>
  <c r="E175" i="4" s="1"/>
  <c r="D174" i="4"/>
  <c r="C174" i="4"/>
  <c r="E174" i="4" s="1"/>
  <c r="D173" i="4"/>
  <c r="C173" i="4"/>
  <c r="E173" i="4" s="1"/>
  <c r="C172" i="4"/>
  <c r="E172" i="4" s="1"/>
  <c r="D172" i="4"/>
  <c r="C171" i="4"/>
  <c r="E171" i="4" s="1"/>
  <c r="D171" i="4"/>
  <c r="D170" i="4"/>
  <c r="C170" i="4"/>
  <c r="E170" i="4" s="1"/>
  <c r="C169" i="4"/>
  <c r="E169" i="4" s="1"/>
  <c r="D169" i="4"/>
  <c r="D168" i="4"/>
  <c r="C168" i="4"/>
  <c r="E168" i="4" s="1"/>
  <c r="D167" i="4"/>
  <c r="C167" i="4"/>
  <c r="E167" i="4" s="1"/>
  <c r="D166" i="4"/>
  <c r="C166" i="4"/>
  <c r="E166" i="4" s="1"/>
  <c r="D165" i="4"/>
  <c r="C165" i="4"/>
  <c r="E165" i="4" s="1"/>
  <c r="D164" i="4"/>
  <c r="C164" i="4"/>
  <c r="E164" i="4" s="1"/>
  <c r="D163" i="4"/>
  <c r="C163" i="4"/>
  <c r="E163" i="4" s="1"/>
  <c r="D162" i="4"/>
  <c r="C162" i="4"/>
  <c r="E162" i="4" s="1"/>
  <c r="D161" i="4"/>
  <c r="C161" i="4"/>
  <c r="E161" i="4" s="1"/>
  <c r="D160" i="4"/>
  <c r="C160" i="4"/>
  <c r="E160" i="4" s="1"/>
  <c r="D159" i="4"/>
  <c r="C159" i="4"/>
  <c r="E159" i="4" s="1"/>
  <c r="C158" i="4"/>
  <c r="E158" i="4" s="1"/>
  <c r="D158" i="4"/>
  <c r="C157" i="4"/>
  <c r="E157" i="4" s="1"/>
  <c r="D157" i="4"/>
  <c r="D156" i="4"/>
  <c r="C156" i="4"/>
  <c r="E156" i="4" s="1"/>
  <c r="D155" i="4"/>
  <c r="C155" i="4"/>
  <c r="E155" i="4" s="1"/>
  <c r="D154" i="4"/>
  <c r="C154" i="4"/>
  <c r="E154" i="4" s="1"/>
  <c r="D153" i="4"/>
  <c r="C153" i="4"/>
  <c r="E153" i="4" s="1"/>
  <c r="D152" i="4"/>
  <c r="C152" i="4"/>
  <c r="E152" i="4" s="1"/>
  <c r="D151" i="4"/>
  <c r="C151" i="4"/>
  <c r="E151" i="4" s="1"/>
  <c r="D150" i="4"/>
  <c r="C150" i="4"/>
  <c r="E150" i="4" s="1"/>
  <c r="D149" i="4"/>
  <c r="C149" i="4"/>
  <c r="E149" i="4" s="1"/>
  <c r="D148" i="4"/>
  <c r="C148" i="4"/>
  <c r="E148" i="4" s="1"/>
  <c r="D147" i="4"/>
  <c r="C147" i="4"/>
  <c r="E147" i="4" s="1"/>
  <c r="C146" i="4"/>
  <c r="E146" i="4" s="1"/>
  <c r="D146" i="4"/>
  <c r="C145" i="4"/>
  <c r="E145" i="4" s="1"/>
  <c r="D145" i="4"/>
  <c r="D144" i="4"/>
  <c r="C144" i="4"/>
  <c r="E144" i="4" s="1"/>
  <c r="D143" i="4"/>
  <c r="C143" i="4"/>
  <c r="E143" i="4" s="1"/>
  <c r="D142" i="4"/>
  <c r="C142" i="4"/>
  <c r="E142" i="4" s="1"/>
  <c r="D141" i="4"/>
  <c r="C141" i="4"/>
  <c r="E141" i="4" s="1"/>
  <c r="C140" i="4"/>
  <c r="E140" i="4" s="1"/>
  <c r="D140" i="4"/>
  <c r="D139" i="4"/>
  <c r="C139" i="4"/>
  <c r="E139" i="4" s="1"/>
  <c r="D138" i="4"/>
  <c r="C138" i="4"/>
  <c r="E138" i="4" s="1"/>
  <c r="D137" i="4"/>
  <c r="C137" i="4"/>
  <c r="E137" i="4" s="1"/>
  <c r="D136" i="4"/>
  <c r="C136" i="4"/>
  <c r="E136" i="4" s="1"/>
  <c r="C135" i="4"/>
  <c r="E135" i="4" s="1"/>
  <c r="D135" i="4"/>
  <c r="C134" i="4"/>
  <c r="E134" i="4" s="1"/>
  <c r="D134" i="4"/>
  <c r="D133" i="4"/>
  <c r="C133" i="4"/>
  <c r="E133" i="4" s="1"/>
  <c r="D132" i="4"/>
  <c r="C132" i="4"/>
  <c r="E132" i="4" s="1"/>
  <c r="D131" i="4"/>
  <c r="C131" i="4"/>
  <c r="E131" i="4" s="1"/>
  <c r="D130" i="4"/>
  <c r="C130" i="4"/>
  <c r="E130" i="4" s="1"/>
  <c r="C129" i="4"/>
  <c r="E129" i="4" s="1"/>
  <c r="D129" i="4"/>
  <c r="D128" i="4"/>
  <c r="C128" i="4"/>
  <c r="E128" i="4" s="1"/>
  <c r="D127" i="4"/>
  <c r="C127" i="4"/>
  <c r="E127" i="4" s="1"/>
  <c r="C126" i="4"/>
  <c r="E126" i="4" s="1"/>
  <c r="D126" i="4"/>
  <c r="D125" i="4"/>
  <c r="C125" i="4"/>
  <c r="E125" i="4" s="1"/>
  <c r="C124" i="4"/>
  <c r="E124" i="4" s="1"/>
  <c r="D124" i="4"/>
  <c r="C123" i="4"/>
  <c r="E123" i="4" s="1"/>
  <c r="D123" i="4"/>
  <c r="D122" i="4"/>
  <c r="C122" i="4"/>
  <c r="E122" i="4" s="1"/>
  <c r="D121" i="4"/>
  <c r="C121" i="4"/>
  <c r="E121" i="4" s="1"/>
  <c r="D120" i="4"/>
  <c r="C120" i="4"/>
  <c r="E120" i="4" s="1"/>
  <c r="D119" i="4"/>
  <c r="C119" i="4"/>
  <c r="E119" i="4" s="1"/>
  <c r="D118" i="4"/>
  <c r="C118" i="4"/>
  <c r="E118" i="4" s="1"/>
  <c r="D117" i="4"/>
  <c r="C117" i="4"/>
  <c r="E117" i="4" s="1"/>
  <c r="D116" i="4"/>
  <c r="C116" i="4"/>
  <c r="E116" i="4" s="1"/>
  <c r="D115" i="4"/>
  <c r="C115" i="4"/>
  <c r="E115" i="4" s="1"/>
  <c r="D114" i="4"/>
  <c r="C114" i="4"/>
  <c r="E114" i="4" s="1"/>
  <c r="D113" i="4"/>
  <c r="C113" i="4"/>
  <c r="E113" i="4" s="1"/>
  <c r="C112" i="4"/>
  <c r="E112" i="4" s="1"/>
  <c r="D112" i="4"/>
  <c r="C111" i="4"/>
  <c r="E111" i="4" s="1"/>
  <c r="D111" i="4"/>
  <c r="D110" i="4"/>
  <c r="C110" i="4"/>
  <c r="E110" i="4" s="1"/>
  <c r="D109" i="4"/>
  <c r="C109" i="4"/>
  <c r="E109" i="4" s="1"/>
  <c r="D108" i="4"/>
  <c r="C108" i="4"/>
  <c r="E108" i="4" s="1"/>
  <c r="D107" i="4"/>
  <c r="C107" i="4"/>
  <c r="E107" i="4" s="1"/>
  <c r="C106" i="4"/>
  <c r="E106" i="4" s="1"/>
  <c r="D106" i="4"/>
  <c r="D105" i="4"/>
  <c r="C105" i="4"/>
  <c r="E105" i="4" s="1"/>
  <c r="C104" i="4"/>
  <c r="E104" i="4" s="1"/>
  <c r="D104" i="4"/>
  <c r="D103" i="4"/>
  <c r="C103" i="4"/>
  <c r="E103" i="4" s="1"/>
  <c r="C102" i="4"/>
  <c r="E102" i="4" s="1"/>
  <c r="D102" i="4"/>
  <c r="D101" i="4"/>
  <c r="C101" i="4"/>
  <c r="E101" i="4" s="1"/>
  <c r="D100" i="4"/>
  <c r="C100" i="4"/>
  <c r="E100" i="4" s="1"/>
  <c r="C99" i="4"/>
  <c r="E99" i="4" s="1"/>
  <c r="D99" i="4"/>
  <c r="D98" i="4"/>
  <c r="C98" i="4"/>
  <c r="E98" i="4" s="1"/>
  <c r="D97" i="4"/>
  <c r="C97" i="4"/>
  <c r="E97" i="4" s="1"/>
  <c r="D96" i="4"/>
  <c r="C96" i="4"/>
  <c r="E96" i="4" s="1"/>
  <c r="C95" i="4"/>
  <c r="E95" i="4" s="1"/>
  <c r="D95" i="4"/>
  <c r="D94" i="4"/>
  <c r="C94" i="4"/>
  <c r="E94" i="4" s="1"/>
  <c r="D93" i="4"/>
  <c r="C93" i="4"/>
  <c r="E93" i="4" s="1"/>
  <c r="D92" i="4"/>
  <c r="C92" i="4"/>
  <c r="E92" i="4" s="1"/>
  <c r="D91" i="4"/>
  <c r="C91" i="4"/>
  <c r="E91" i="4" s="1"/>
  <c r="D90" i="4"/>
  <c r="C90" i="4"/>
  <c r="E90" i="4" s="1"/>
  <c r="C89" i="4"/>
  <c r="E89" i="4" s="1"/>
  <c r="D89" i="4"/>
  <c r="C88" i="4"/>
  <c r="E88" i="4" s="1"/>
  <c r="D88" i="4"/>
  <c r="D87" i="4"/>
  <c r="C87" i="4"/>
  <c r="E87" i="4" s="1"/>
  <c r="F86" i="4"/>
  <c r="G86" i="4"/>
  <c r="C85" i="4"/>
  <c r="E85" i="4" s="1"/>
  <c r="D85" i="4"/>
  <c r="C84" i="4"/>
  <c r="E84" i="4" s="1"/>
  <c r="D84" i="4"/>
  <c r="C83" i="4"/>
  <c r="E83" i="4" s="1"/>
  <c r="D83" i="4"/>
  <c r="C82" i="4"/>
  <c r="E82" i="4" s="1"/>
  <c r="D82" i="4"/>
  <c r="C81" i="4"/>
  <c r="E81" i="4" s="1"/>
  <c r="D81" i="4"/>
  <c r="C80" i="4"/>
  <c r="E80" i="4" s="1"/>
  <c r="D80" i="4"/>
  <c r="C79" i="4"/>
  <c r="E79" i="4" s="1"/>
  <c r="D79" i="4"/>
  <c r="D78" i="4"/>
  <c r="C78" i="4"/>
  <c r="E78" i="4" s="1"/>
  <c r="D77" i="4"/>
  <c r="C77" i="4"/>
  <c r="E77" i="4" s="1"/>
  <c r="C76" i="4"/>
  <c r="E76" i="4" s="1"/>
  <c r="D76" i="4"/>
  <c r="C75" i="4"/>
  <c r="E75" i="4" s="1"/>
  <c r="D75" i="4"/>
  <c r="C74" i="4"/>
  <c r="E74" i="4" s="1"/>
  <c r="D74" i="4"/>
  <c r="C73" i="4"/>
  <c r="E73" i="4" s="1"/>
  <c r="D73" i="4"/>
  <c r="C72" i="4"/>
  <c r="E72" i="4" s="1"/>
  <c r="D72" i="4"/>
  <c r="G71" i="4"/>
  <c r="F71" i="4"/>
  <c r="D70" i="4"/>
  <c r="C70" i="4"/>
  <c r="E70" i="4" s="1"/>
  <c r="C69" i="4"/>
  <c r="E69" i="4" s="1"/>
  <c r="D69" i="4"/>
  <c r="C68" i="4"/>
  <c r="E68" i="4" s="1"/>
  <c r="D68" i="4"/>
  <c r="C67" i="4"/>
  <c r="E67" i="4" s="1"/>
  <c r="D67" i="4"/>
  <c r="C66" i="4"/>
  <c r="E66" i="4" s="1"/>
  <c r="D66" i="4"/>
  <c r="C65" i="4"/>
  <c r="E65" i="4" s="1"/>
  <c r="D65" i="4"/>
  <c r="D64" i="4"/>
  <c r="C64" i="4"/>
  <c r="E64" i="4" s="1"/>
  <c r="D63" i="4"/>
  <c r="C63" i="4"/>
  <c r="E63" i="4" s="1"/>
  <c r="C62" i="4"/>
  <c r="E62" i="4" s="1"/>
  <c r="D62" i="4"/>
  <c r="C61" i="4"/>
  <c r="E61" i="4" s="1"/>
  <c r="D61" i="4"/>
  <c r="D60" i="4"/>
  <c r="C60" i="4"/>
  <c r="E60" i="4" s="1"/>
  <c r="D59" i="4"/>
  <c r="C59" i="4"/>
  <c r="E59" i="4" s="1"/>
  <c r="C58" i="4"/>
  <c r="E58" i="4" s="1"/>
  <c r="D58" i="4"/>
  <c r="C57" i="4"/>
  <c r="E57" i="4" s="1"/>
  <c r="D57" i="4"/>
  <c r="G56" i="4"/>
  <c r="F56" i="4"/>
  <c r="D55" i="4"/>
  <c r="C55" i="4"/>
  <c r="E55" i="4" s="1"/>
  <c r="C54" i="4"/>
  <c r="E54" i="4" s="1"/>
  <c r="D54" i="4"/>
  <c r="D53" i="4"/>
  <c r="C53" i="4"/>
  <c r="E53" i="4" s="1"/>
  <c r="D52" i="4"/>
  <c r="C52" i="4"/>
  <c r="E52" i="4" s="1"/>
  <c r="F51" i="4"/>
  <c r="G51" i="4"/>
  <c r="C50" i="4"/>
  <c r="E50" i="4" s="1"/>
  <c r="D50" i="4"/>
  <c r="F49" i="4"/>
  <c r="G49" i="4"/>
  <c r="D48" i="4"/>
  <c r="C48" i="4"/>
  <c r="E48" i="4" s="1"/>
  <c r="D47" i="4"/>
  <c r="C47" i="4"/>
  <c r="E47" i="4" s="1"/>
  <c r="C46" i="4"/>
  <c r="E46" i="4" s="1"/>
  <c r="D46" i="4"/>
  <c r="D45" i="4"/>
  <c r="C45" i="4"/>
  <c r="E45" i="4" s="1"/>
  <c r="D44" i="4"/>
  <c r="C44" i="4"/>
  <c r="E44" i="4" s="1"/>
  <c r="D43" i="4"/>
  <c r="C43" i="4"/>
  <c r="E43" i="4" s="1"/>
  <c r="D42" i="4"/>
  <c r="C42" i="4"/>
  <c r="E42" i="4" s="1"/>
  <c r="D41" i="4"/>
  <c r="C41" i="4"/>
  <c r="E41" i="4" s="1"/>
  <c r="D40" i="4"/>
  <c r="C40" i="4"/>
  <c r="E40" i="4" s="1"/>
  <c r="D39" i="4"/>
  <c r="C39" i="4"/>
  <c r="E39" i="4" s="1"/>
  <c r="D38" i="4"/>
  <c r="C38" i="4"/>
  <c r="E38" i="4" s="1"/>
  <c r="D37" i="4"/>
  <c r="C37" i="4"/>
  <c r="E37" i="4" s="1"/>
  <c r="D36" i="4"/>
  <c r="C36" i="4"/>
  <c r="E36" i="4" s="1"/>
  <c r="D35" i="4"/>
  <c r="C35" i="4"/>
  <c r="E35" i="4" s="1"/>
  <c r="D34" i="4"/>
  <c r="C34" i="4"/>
  <c r="E34" i="4" s="1"/>
  <c r="D33" i="4"/>
  <c r="C33" i="4"/>
  <c r="E33" i="4" s="1"/>
  <c r="D32" i="4"/>
  <c r="C32" i="4"/>
  <c r="E32" i="4" s="1"/>
  <c r="D31" i="4"/>
  <c r="C31" i="4"/>
  <c r="E31" i="4" s="1"/>
  <c r="D30" i="4"/>
  <c r="C30" i="4"/>
  <c r="E30" i="4" s="1"/>
  <c r="C29" i="4"/>
  <c r="E29" i="4" s="1"/>
  <c r="D29" i="4"/>
  <c r="D28" i="4"/>
  <c r="C28" i="4"/>
  <c r="E28" i="4" s="1"/>
  <c r="D27" i="4"/>
  <c r="C27" i="4"/>
  <c r="E27" i="4" s="1"/>
  <c r="C26" i="4"/>
  <c r="E26" i="4" s="1"/>
  <c r="D26" i="4"/>
  <c r="D25" i="4"/>
  <c r="C25" i="4"/>
  <c r="E25" i="4" s="1"/>
  <c r="C24" i="4"/>
  <c r="E24" i="4" s="1"/>
  <c r="D24" i="4"/>
  <c r="D23" i="4"/>
  <c r="C23" i="4"/>
  <c r="E23" i="4" s="1"/>
  <c r="C22" i="4"/>
  <c r="E22" i="4" s="1"/>
  <c r="D22" i="4"/>
  <c r="C21" i="4"/>
  <c r="E21" i="4" s="1"/>
  <c r="D21" i="4"/>
  <c r="D20" i="4"/>
  <c r="C20" i="4"/>
  <c r="E20" i="4" s="1"/>
  <c r="C19" i="4"/>
  <c r="E19" i="4" s="1"/>
  <c r="D19" i="4"/>
  <c r="C18" i="4"/>
  <c r="E18" i="4" s="1"/>
  <c r="D18" i="4"/>
  <c r="C17" i="4"/>
  <c r="E17" i="4" s="1"/>
  <c r="D17" i="4"/>
  <c r="C16" i="4"/>
  <c r="E16" i="4" s="1"/>
  <c r="D16" i="4"/>
  <c r="D15" i="4"/>
  <c r="C15" i="4"/>
  <c r="E15" i="4" s="1"/>
  <c r="D14" i="4"/>
  <c r="C14" i="4"/>
  <c r="E14" i="4" s="1"/>
  <c r="C13" i="4"/>
  <c r="E13" i="4" s="1"/>
  <c r="D13" i="4"/>
  <c r="D12" i="4"/>
  <c r="C12" i="4"/>
  <c r="E12" i="4" s="1"/>
  <c r="C11" i="4"/>
  <c r="E11" i="4" s="1"/>
  <c r="D11" i="4"/>
  <c r="D10" i="4"/>
  <c r="C10" i="4"/>
  <c r="E10" i="4" s="1"/>
  <c r="C9" i="4"/>
  <c r="E9" i="4" s="1"/>
  <c r="D9" i="4"/>
  <c r="C8" i="4"/>
  <c r="E8" i="4" s="1"/>
  <c r="D8" i="4"/>
  <c r="C7" i="4"/>
  <c r="E7" i="4" s="1"/>
  <c r="D7" i="4"/>
  <c r="D6" i="4"/>
  <c r="C6" i="4"/>
  <c r="E6" i="4" s="1"/>
  <c r="C5" i="4"/>
  <c r="E5" i="4" s="1"/>
  <c r="D5" i="4"/>
  <c r="C4" i="4"/>
  <c r="E4" i="4" s="1"/>
  <c r="D4" i="4"/>
  <c r="F3" i="4"/>
  <c r="G3" i="4"/>
  <c r="D2" i="4"/>
  <c r="C2" i="4"/>
  <c r="E2" i="4" s="1"/>
  <c r="F395" i="4" l="1"/>
  <c r="G395" i="4"/>
  <c r="F394" i="4"/>
  <c r="G394" i="4"/>
  <c r="F393" i="4"/>
  <c r="G393" i="4"/>
  <c r="F392" i="4"/>
  <c r="G392" i="4"/>
  <c r="F391" i="4"/>
  <c r="G391" i="4"/>
  <c r="F390" i="4"/>
  <c r="G390" i="4"/>
  <c r="F389" i="4"/>
  <c r="G389" i="4"/>
  <c r="F388" i="4"/>
  <c r="G388" i="4"/>
  <c r="F387" i="4"/>
  <c r="G387" i="4"/>
  <c r="F386" i="4"/>
  <c r="G386" i="4"/>
  <c r="F385" i="4"/>
  <c r="G385" i="4"/>
  <c r="F384" i="4"/>
  <c r="G384" i="4"/>
  <c r="F383" i="4"/>
  <c r="G383" i="4"/>
  <c r="F382" i="4"/>
  <c r="G382" i="4"/>
  <c r="F381" i="4"/>
  <c r="G381" i="4"/>
  <c r="F380" i="4"/>
  <c r="G380" i="4"/>
  <c r="F379" i="4"/>
  <c r="G379" i="4"/>
  <c r="F378" i="4"/>
  <c r="G378" i="4"/>
  <c r="F377" i="4"/>
  <c r="G377" i="4"/>
  <c r="F376" i="4"/>
  <c r="G376" i="4"/>
  <c r="F375" i="4"/>
  <c r="G375" i="4"/>
  <c r="F374" i="4"/>
  <c r="G374" i="4"/>
  <c r="F373" i="4"/>
  <c r="G373" i="4"/>
  <c r="F372" i="4"/>
  <c r="G372" i="4"/>
  <c r="F371" i="4"/>
  <c r="G371" i="4"/>
  <c r="F370" i="4"/>
  <c r="G370" i="4"/>
  <c r="F369" i="4"/>
  <c r="G369" i="4"/>
  <c r="F368" i="4"/>
  <c r="G368" i="4"/>
  <c r="F367" i="4"/>
  <c r="G367" i="4"/>
  <c r="F366" i="4"/>
  <c r="G366" i="4"/>
  <c r="F365" i="4"/>
  <c r="G365" i="4"/>
  <c r="H364" i="4"/>
  <c r="I364" i="4"/>
  <c r="F363" i="4"/>
  <c r="G363" i="4"/>
  <c r="F362" i="4"/>
  <c r="G362" i="4"/>
  <c r="F361" i="4"/>
  <c r="G361" i="4"/>
  <c r="F360" i="4"/>
  <c r="G360" i="4"/>
  <c r="F359" i="4"/>
  <c r="G359" i="4"/>
  <c r="F358" i="4"/>
  <c r="G358" i="4"/>
  <c r="F357" i="4"/>
  <c r="G357" i="4"/>
  <c r="F356" i="4"/>
  <c r="G356" i="4"/>
  <c r="F355" i="4"/>
  <c r="G355" i="4"/>
  <c r="F354" i="4"/>
  <c r="G354" i="4"/>
  <c r="F353" i="4"/>
  <c r="G353" i="4"/>
  <c r="F352" i="4"/>
  <c r="G352" i="4"/>
  <c r="F351" i="4"/>
  <c r="G351" i="4"/>
  <c r="F350" i="4"/>
  <c r="G350" i="4"/>
  <c r="F349" i="4"/>
  <c r="G349" i="4"/>
  <c r="F348" i="4"/>
  <c r="G348" i="4"/>
  <c r="F347" i="4"/>
  <c r="G347" i="4"/>
  <c r="F346" i="4"/>
  <c r="G346" i="4"/>
  <c r="F345" i="4"/>
  <c r="G345" i="4"/>
  <c r="F344" i="4"/>
  <c r="G344" i="4"/>
  <c r="F343" i="4"/>
  <c r="G343" i="4"/>
  <c r="F342" i="4"/>
  <c r="G342" i="4"/>
  <c r="F341" i="4"/>
  <c r="G341" i="4"/>
  <c r="F340" i="4"/>
  <c r="G340" i="4"/>
  <c r="F339" i="4"/>
  <c r="G339" i="4"/>
  <c r="F338" i="4"/>
  <c r="G338" i="4"/>
  <c r="F337" i="4"/>
  <c r="G337" i="4"/>
  <c r="F336" i="4"/>
  <c r="G336" i="4"/>
  <c r="F335" i="4"/>
  <c r="G335" i="4"/>
  <c r="F334" i="4"/>
  <c r="G334" i="4"/>
  <c r="F333" i="4"/>
  <c r="G333" i="4"/>
  <c r="F332" i="4"/>
  <c r="G332" i="4"/>
  <c r="F331" i="4"/>
  <c r="G331" i="4"/>
  <c r="F330" i="4"/>
  <c r="G330" i="4"/>
  <c r="F329" i="4"/>
  <c r="G329" i="4"/>
  <c r="F328" i="4"/>
  <c r="G328" i="4"/>
  <c r="F327" i="4"/>
  <c r="G327" i="4"/>
  <c r="F326" i="4"/>
  <c r="G326" i="4"/>
  <c r="F325" i="4"/>
  <c r="G325" i="4"/>
  <c r="F324" i="4"/>
  <c r="G324" i="4"/>
  <c r="F323" i="4"/>
  <c r="G323" i="4"/>
  <c r="F322" i="4"/>
  <c r="G322" i="4"/>
  <c r="F321" i="4"/>
  <c r="G321" i="4"/>
  <c r="F320" i="4"/>
  <c r="G320" i="4"/>
  <c r="F319" i="4"/>
  <c r="G319" i="4"/>
  <c r="F318" i="4"/>
  <c r="G318" i="4"/>
  <c r="F317" i="4"/>
  <c r="G317" i="4"/>
  <c r="F316" i="4"/>
  <c r="G316" i="4"/>
  <c r="F315" i="4"/>
  <c r="G315" i="4"/>
  <c r="F314" i="4"/>
  <c r="G314" i="4"/>
  <c r="F313" i="4"/>
  <c r="G313" i="4"/>
  <c r="F312" i="4"/>
  <c r="G312" i="4"/>
  <c r="F311" i="4"/>
  <c r="G311" i="4"/>
  <c r="F310" i="4"/>
  <c r="G310" i="4"/>
  <c r="F309" i="4"/>
  <c r="G309" i="4"/>
  <c r="F308" i="4"/>
  <c r="G308" i="4"/>
  <c r="F307" i="4"/>
  <c r="G307" i="4"/>
  <c r="F306" i="4"/>
  <c r="G306" i="4"/>
  <c r="F305" i="4"/>
  <c r="G305" i="4"/>
  <c r="F304" i="4"/>
  <c r="G304" i="4"/>
  <c r="F303" i="4"/>
  <c r="G303" i="4"/>
  <c r="F302" i="4"/>
  <c r="G302" i="4"/>
  <c r="F301" i="4"/>
  <c r="G301" i="4"/>
  <c r="F300" i="4"/>
  <c r="G300" i="4"/>
  <c r="F299" i="4"/>
  <c r="G299" i="4"/>
  <c r="F298" i="4"/>
  <c r="G298" i="4"/>
  <c r="F297" i="4"/>
  <c r="G297" i="4"/>
  <c r="F296" i="4"/>
  <c r="G296" i="4"/>
  <c r="F295" i="4"/>
  <c r="G295" i="4"/>
  <c r="F294" i="4"/>
  <c r="G294" i="4"/>
  <c r="F293" i="4"/>
  <c r="G293" i="4"/>
  <c r="F292" i="4"/>
  <c r="G292" i="4"/>
  <c r="F291" i="4"/>
  <c r="G291" i="4"/>
  <c r="F290" i="4"/>
  <c r="G290" i="4"/>
  <c r="F289" i="4"/>
  <c r="G289" i="4"/>
  <c r="F288" i="4"/>
  <c r="G288" i="4"/>
  <c r="F287" i="4"/>
  <c r="G287" i="4"/>
  <c r="F286" i="4"/>
  <c r="G286" i="4"/>
  <c r="F285" i="4"/>
  <c r="G285" i="4"/>
  <c r="H284" i="4"/>
  <c r="I284" i="4"/>
  <c r="F283" i="4"/>
  <c r="G283" i="4"/>
  <c r="F282" i="4"/>
  <c r="G282" i="4"/>
  <c r="F281" i="4"/>
  <c r="G281" i="4"/>
  <c r="F280" i="4"/>
  <c r="G280" i="4"/>
  <c r="F279" i="4"/>
  <c r="G279" i="4"/>
  <c r="F278" i="4"/>
  <c r="G278" i="4"/>
  <c r="F277" i="4"/>
  <c r="G277" i="4"/>
  <c r="F276" i="4"/>
  <c r="G276" i="4"/>
  <c r="F275" i="4"/>
  <c r="G275" i="4"/>
  <c r="F274" i="4"/>
  <c r="G274" i="4"/>
  <c r="F273" i="4"/>
  <c r="G273" i="4"/>
  <c r="G272" i="4"/>
  <c r="F272" i="4"/>
  <c r="I271" i="4"/>
  <c r="H271" i="4"/>
  <c r="G270" i="4"/>
  <c r="F270" i="4"/>
  <c r="G269" i="4"/>
  <c r="F269" i="4"/>
  <c r="I268" i="4"/>
  <c r="H268" i="4"/>
  <c r="F267" i="4"/>
  <c r="G267" i="4"/>
  <c r="F266" i="4"/>
  <c r="G266" i="4"/>
  <c r="F265" i="4"/>
  <c r="G265" i="4"/>
  <c r="F264" i="4"/>
  <c r="G264" i="4"/>
  <c r="F263" i="4"/>
  <c r="G263" i="4"/>
  <c r="F262" i="4"/>
  <c r="G262" i="4"/>
  <c r="F261" i="4"/>
  <c r="G261" i="4"/>
  <c r="F260" i="4"/>
  <c r="G260" i="4"/>
  <c r="F259" i="4"/>
  <c r="G259" i="4"/>
  <c r="G258" i="4"/>
  <c r="F258" i="4"/>
  <c r="I257" i="4"/>
  <c r="H257" i="4"/>
  <c r="G256" i="4"/>
  <c r="F256" i="4"/>
  <c r="G255" i="4"/>
  <c r="F255" i="4"/>
  <c r="G254" i="4"/>
  <c r="F254" i="4"/>
  <c r="F253" i="4"/>
  <c r="G253" i="4"/>
  <c r="H252" i="4"/>
  <c r="I252" i="4"/>
  <c r="F251" i="4"/>
  <c r="G251" i="4"/>
  <c r="F250" i="4"/>
  <c r="G250" i="4"/>
  <c r="F249" i="4"/>
  <c r="G249" i="4"/>
  <c r="F248" i="4"/>
  <c r="G248" i="4"/>
  <c r="F247" i="4"/>
  <c r="G247" i="4"/>
  <c r="F246" i="4"/>
  <c r="G246" i="4"/>
  <c r="F245" i="4"/>
  <c r="G245" i="4"/>
  <c r="F244" i="4"/>
  <c r="G244" i="4"/>
  <c r="F243" i="4"/>
  <c r="G243" i="4"/>
  <c r="F242" i="4"/>
  <c r="G242" i="4"/>
  <c r="F241" i="4"/>
  <c r="G241" i="4"/>
  <c r="F240" i="4"/>
  <c r="G240" i="4"/>
  <c r="F239" i="4"/>
  <c r="G239" i="4"/>
  <c r="F238" i="4"/>
  <c r="G238" i="4"/>
  <c r="F237" i="4"/>
  <c r="G237" i="4"/>
  <c r="I236" i="4"/>
  <c r="H236" i="4"/>
  <c r="F235" i="4"/>
  <c r="G235" i="4"/>
  <c r="F234" i="4"/>
  <c r="G234" i="4"/>
  <c r="F233" i="4"/>
  <c r="G233" i="4"/>
  <c r="F232" i="4"/>
  <c r="G232" i="4"/>
  <c r="F231" i="4"/>
  <c r="G231" i="4"/>
  <c r="F230" i="4"/>
  <c r="G230" i="4"/>
  <c r="F229" i="4"/>
  <c r="G229" i="4"/>
  <c r="F228" i="4"/>
  <c r="G228" i="4"/>
  <c r="F227" i="4"/>
  <c r="G227" i="4"/>
  <c r="F226" i="4"/>
  <c r="G226" i="4"/>
  <c r="F225" i="4"/>
  <c r="G225" i="4"/>
  <c r="F224" i="4"/>
  <c r="G224" i="4"/>
  <c r="F223" i="4"/>
  <c r="G223" i="4"/>
  <c r="F222" i="4"/>
  <c r="G222" i="4"/>
  <c r="F221" i="4"/>
  <c r="G221" i="4"/>
  <c r="F220" i="4"/>
  <c r="G220" i="4"/>
  <c r="F219" i="4"/>
  <c r="G219" i="4"/>
  <c r="F218" i="4"/>
  <c r="G218" i="4"/>
  <c r="F217" i="4"/>
  <c r="G217" i="4"/>
  <c r="F216" i="4"/>
  <c r="G216" i="4"/>
  <c r="F215" i="4"/>
  <c r="G215" i="4"/>
  <c r="F214" i="4"/>
  <c r="G214" i="4"/>
  <c r="F213" i="4"/>
  <c r="G213" i="4"/>
  <c r="F212" i="4"/>
  <c r="G212" i="4"/>
  <c r="F211" i="4"/>
  <c r="G211" i="4"/>
  <c r="F210" i="4"/>
  <c r="G210" i="4"/>
  <c r="F209" i="4"/>
  <c r="G209" i="4"/>
  <c r="F208" i="4"/>
  <c r="G208" i="4"/>
  <c r="G207" i="4"/>
  <c r="F207" i="4"/>
  <c r="F206" i="4"/>
  <c r="G206" i="4"/>
  <c r="G205" i="4"/>
  <c r="F205" i="4"/>
  <c r="F204" i="4"/>
  <c r="G204" i="4"/>
  <c r="F203" i="4"/>
  <c r="G203" i="4"/>
  <c r="F202" i="4"/>
  <c r="G202" i="4"/>
  <c r="F201" i="4"/>
  <c r="G201" i="4"/>
  <c r="F200" i="4"/>
  <c r="G200" i="4"/>
  <c r="F199" i="4"/>
  <c r="G199" i="4"/>
  <c r="F198" i="4"/>
  <c r="G198" i="4"/>
  <c r="F197" i="4"/>
  <c r="G197" i="4"/>
  <c r="F196" i="4"/>
  <c r="G196" i="4"/>
  <c r="F195" i="4"/>
  <c r="G195" i="4"/>
  <c r="F194" i="4"/>
  <c r="G194" i="4"/>
  <c r="F193" i="4"/>
  <c r="G193" i="4"/>
  <c r="F192" i="4"/>
  <c r="G192" i="4"/>
  <c r="F191" i="4"/>
  <c r="G191" i="4"/>
  <c r="F190" i="4"/>
  <c r="G190" i="4"/>
  <c r="F189" i="4"/>
  <c r="G189" i="4"/>
  <c r="F188" i="4"/>
  <c r="G188" i="4"/>
  <c r="F187" i="4"/>
  <c r="G187" i="4"/>
  <c r="F186" i="4"/>
  <c r="G186" i="4"/>
  <c r="F185" i="4"/>
  <c r="G185" i="4"/>
  <c r="F184" i="4"/>
  <c r="G184" i="4"/>
  <c r="F183" i="4"/>
  <c r="G183" i="4"/>
  <c r="G182" i="4"/>
  <c r="F182" i="4"/>
  <c r="G181" i="4"/>
  <c r="F181" i="4"/>
  <c r="F180" i="4"/>
  <c r="G180" i="4"/>
  <c r="G179" i="4"/>
  <c r="F179" i="4"/>
  <c r="F178" i="4"/>
  <c r="G178" i="4"/>
  <c r="G177" i="4"/>
  <c r="F177" i="4"/>
  <c r="G176" i="4"/>
  <c r="F176" i="4"/>
  <c r="G175" i="4"/>
  <c r="F175" i="4"/>
  <c r="G174" i="4"/>
  <c r="F174" i="4"/>
  <c r="G173" i="4"/>
  <c r="F173" i="4"/>
  <c r="F172" i="4"/>
  <c r="G172" i="4"/>
  <c r="F171" i="4"/>
  <c r="G171" i="4"/>
  <c r="F170" i="4"/>
  <c r="G170" i="4"/>
  <c r="F169" i="4"/>
  <c r="G169" i="4"/>
  <c r="F168" i="4"/>
  <c r="G168" i="4"/>
  <c r="F167" i="4"/>
  <c r="G167" i="4"/>
  <c r="F166" i="4"/>
  <c r="G166" i="4"/>
  <c r="F165" i="4"/>
  <c r="G165" i="4"/>
  <c r="F164" i="4"/>
  <c r="G164" i="4"/>
  <c r="F163" i="4"/>
  <c r="G163" i="4"/>
  <c r="F162" i="4"/>
  <c r="G162" i="4"/>
  <c r="F161" i="4"/>
  <c r="G161" i="4"/>
  <c r="F160" i="4"/>
  <c r="G160" i="4"/>
  <c r="F159" i="4"/>
  <c r="G159" i="4"/>
  <c r="F158" i="4"/>
  <c r="G158" i="4"/>
  <c r="F157" i="4"/>
  <c r="G157" i="4"/>
  <c r="F156" i="4"/>
  <c r="G156" i="4"/>
  <c r="F155" i="4"/>
  <c r="G155" i="4"/>
  <c r="F154" i="4"/>
  <c r="G154" i="4"/>
  <c r="F153" i="4"/>
  <c r="G153" i="4"/>
  <c r="F152" i="4"/>
  <c r="G152" i="4"/>
  <c r="F151" i="4"/>
  <c r="G151" i="4"/>
  <c r="F150" i="4"/>
  <c r="G150" i="4"/>
  <c r="F149" i="4"/>
  <c r="G149" i="4"/>
  <c r="F148" i="4"/>
  <c r="G148" i="4"/>
  <c r="F147" i="4"/>
  <c r="G147" i="4"/>
  <c r="F146" i="4"/>
  <c r="G146" i="4"/>
  <c r="F145" i="4"/>
  <c r="G145" i="4"/>
  <c r="F144" i="4"/>
  <c r="G144" i="4"/>
  <c r="F143" i="4"/>
  <c r="G143" i="4"/>
  <c r="F142" i="4"/>
  <c r="G142" i="4"/>
  <c r="F141" i="4"/>
  <c r="G141" i="4"/>
  <c r="F140" i="4"/>
  <c r="G140" i="4"/>
  <c r="F139" i="4"/>
  <c r="G139" i="4"/>
  <c r="F138" i="4"/>
  <c r="G138" i="4"/>
  <c r="F137" i="4"/>
  <c r="G137" i="4"/>
  <c r="F136" i="4"/>
  <c r="G136" i="4"/>
  <c r="F135" i="4"/>
  <c r="G135" i="4"/>
  <c r="F134" i="4"/>
  <c r="G134" i="4"/>
  <c r="F133" i="4"/>
  <c r="G133" i="4"/>
  <c r="F132" i="4"/>
  <c r="G132" i="4"/>
  <c r="F131" i="4"/>
  <c r="G131" i="4"/>
  <c r="F130" i="4"/>
  <c r="G130" i="4"/>
  <c r="F129" i="4"/>
  <c r="G129" i="4"/>
  <c r="F128" i="4"/>
  <c r="G128" i="4"/>
  <c r="F127" i="4"/>
  <c r="G127" i="4"/>
  <c r="G126" i="4"/>
  <c r="F126" i="4"/>
  <c r="F125" i="4"/>
  <c r="G125" i="4"/>
  <c r="F124" i="4"/>
  <c r="G124" i="4"/>
  <c r="F123" i="4"/>
  <c r="G123" i="4"/>
  <c r="F122" i="4"/>
  <c r="G122" i="4"/>
  <c r="F121" i="4"/>
  <c r="G121" i="4"/>
  <c r="F120" i="4"/>
  <c r="G120" i="4"/>
  <c r="F119" i="4"/>
  <c r="G119" i="4"/>
  <c r="F118" i="4"/>
  <c r="G118" i="4"/>
  <c r="F117" i="4"/>
  <c r="G117" i="4"/>
  <c r="F116" i="4"/>
  <c r="G116" i="4"/>
  <c r="F115" i="4"/>
  <c r="G115" i="4"/>
  <c r="F114" i="4"/>
  <c r="G114" i="4"/>
  <c r="F113" i="4"/>
  <c r="G113" i="4"/>
  <c r="F112" i="4"/>
  <c r="G112" i="4"/>
  <c r="F111" i="4"/>
  <c r="G111" i="4"/>
  <c r="F110" i="4"/>
  <c r="G110" i="4"/>
  <c r="F109" i="4"/>
  <c r="G109" i="4"/>
  <c r="F108" i="4"/>
  <c r="G108" i="4"/>
  <c r="F107" i="4"/>
  <c r="G107" i="4"/>
  <c r="F106" i="4"/>
  <c r="G106" i="4"/>
  <c r="F105" i="4"/>
  <c r="G105" i="4"/>
  <c r="F104" i="4"/>
  <c r="G104" i="4"/>
  <c r="F103" i="4"/>
  <c r="G103" i="4"/>
  <c r="F102" i="4"/>
  <c r="G102" i="4"/>
  <c r="F101" i="4"/>
  <c r="G101" i="4"/>
  <c r="F100" i="4"/>
  <c r="G100" i="4"/>
  <c r="F99" i="4"/>
  <c r="G99" i="4"/>
  <c r="F98" i="4"/>
  <c r="G98" i="4"/>
  <c r="F97" i="4"/>
  <c r="G97" i="4"/>
  <c r="F96" i="4"/>
  <c r="G96" i="4"/>
  <c r="F95" i="4"/>
  <c r="G95" i="4"/>
  <c r="F94" i="4"/>
  <c r="G94" i="4"/>
  <c r="F93" i="4"/>
  <c r="G93" i="4"/>
  <c r="F92" i="4"/>
  <c r="G92" i="4"/>
  <c r="F91" i="4"/>
  <c r="G91" i="4"/>
  <c r="F90" i="4"/>
  <c r="G90" i="4"/>
  <c r="F89" i="4"/>
  <c r="G89" i="4"/>
  <c r="F88" i="4"/>
  <c r="G88" i="4"/>
  <c r="F87" i="4"/>
  <c r="G87" i="4"/>
  <c r="H86" i="4"/>
  <c r="I86" i="4"/>
  <c r="F85" i="4"/>
  <c r="G85" i="4"/>
  <c r="F84" i="4"/>
  <c r="G84" i="4"/>
  <c r="F83" i="4"/>
  <c r="G83" i="4"/>
  <c r="F82" i="4"/>
  <c r="G82" i="4"/>
  <c r="F81" i="4"/>
  <c r="G81" i="4"/>
  <c r="F80" i="4"/>
  <c r="G80" i="4"/>
  <c r="F79" i="4"/>
  <c r="G79" i="4"/>
  <c r="F78" i="4"/>
  <c r="G78" i="4"/>
  <c r="F77" i="4"/>
  <c r="G77" i="4"/>
  <c r="F76" i="4"/>
  <c r="G76" i="4"/>
  <c r="F75" i="4"/>
  <c r="G75" i="4"/>
  <c r="F74" i="4"/>
  <c r="G74" i="4"/>
  <c r="F73" i="4"/>
  <c r="G73" i="4"/>
  <c r="F72" i="4"/>
  <c r="G72" i="4"/>
  <c r="H71" i="4"/>
  <c r="I71" i="4"/>
  <c r="G70" i="4"/>
  <c r="F70" i="4"/>
  <c r="F69" i="4"/>
  <c r="G69" i="4"/>
  <c r="G68" i="4"/>
  <c r="F68" i="4"/>
  <c r="G67" i="4"/>
  <c r="F67" i="4"/>
  <c r="F66" i="4"/>
  <c r="G66" i="4"/>
  <c r="G65" i="4"/>
  <c r="F65" i="4"/>
  <c r="G64" i="4"/>
  <c r="F64" i="4"/>
  <c r="G63" i="4"/>
  <c r="F63" i="4"/>
  <c r="G62" i="4"/>
  <c r="F62" i="4"/>
  <c r="F61" i="4"/>
  <c r="G61" i="4"/>
  <c r="F60" i="4"/>
  <c r="G60" i="4"/>
  <c r="F59" i="4"/>
  <c r="G59" i="4"/>
  <c r="F58" i="4"/>
  <c r="G58" i="4"/>
  <c r="G57" i="4"/>
  <c r="F57" i="4"/>
  <c r="H56" i="4"/>
  <c r="I56" i="4"/>
  <c r="G55" i="4"/>
  <c r="F55" i="4"/>
  <c r="F54" i="4"/>
  <c r="G54" i="4"/>
  <c r="F53" i="4"/>
  <c r="G53" i="4"/>
  <c r="F52" i="4"/>
  <c r="G52" i="4"/>
  <c r="H51" i="4"/>
  <c r="I51" i="4"/>
  <c r="F50" i="4"/>
  <c r="G50" i="4"/>
  <c r="H49" i="4"/>
  <c r="I49" i="4"/>
  <c r="F48" i="4"/>
  <c r="G48" i="4"/>
  <c r="F47" i="4"/>
  <c r="G47" i="4"/>
  <c r="G46" i="4"/>
  <c r="F46" i="4"/>
  <c r="G45" i="4"/>
  <c r="F45" i="4"/>
  <c r="F44" i="4"/>
  <c r="G44" i="4"/>
  <c r="F43" i="4"/>
  <c r="G43" i="4"/>
  <c r="F42" i="4"/>
  <c r="G42" i="4"/>
  <c r="F41" i="4"/>
  <c r="G41" i="4"/>
  <c r="F40" i="4"/>
  <c r="G40" i="4"/>
  <c r="F39" i="4"/>
  <c r="G39" i="4"/>
  <c r="F38" i="4"/>
  <c r="G38" i="4"/>
  <c r="F37" i="4"/>
  <c r="G37" i="4"/>
  <c r="F36" i="4"/>
  <c r="G36" i="4"/>
  <c r="F35" i="4"/>
  <c r="G35" i="4"/>
  <c r="F34" i="4"/>
  <c r="G34" i="4"/>
  <c r="F33" i="4"/>
  <c r="G33" i="4"/>
  <c r="F32" i="4"/>
  <c r="G32" i="4"/>
  <c r="F31" i="4"/>
  <c r="G31" i="4"/>
  <c r="F30" i="4"/>
  <c r="G30" i="4"/>
  <c r="F29" i="4"/>
  <c r="G29" i="4"/>
  <c r="F28" i="4"/>
  <c r="G28" i="4"/>
  <c r="F27" i="4"/>
  <c r="G27" i="4"/>
  <c r="F26" i="4"/>
  <c r="G26" i="4"/>
  <c r="F25" i="4"/>
  <c r="G25" i="4"/>
  <c r="F24" i="4"/>
  <c r="G24" i="4"/>
  <c r="F23" i="4"/>
  <c r="G23" i="4"/>
  <c r="F22" i="4"/>
  <c r="G22" i="4"/>
  <c r="F21" i="4"/>
  <c r="G21" i="4"/>
  <c r="F20" i="4"/>
  <c r="G20" i="4"/>
  <c r="F19" i="4"/>
  <c r="G19" i="4"/>
  <c r="F18" i="4"/>
  <c r="G18" i="4"/>
  <c r="F17" i="4"/>
  <c r="G17" i="4"/>
  <c r="F16" i="4"/>
  <c r="G16" i="4"/>
  <c r="F15" i="4"/>
  <c r="G15" i="4"/>
  <c r="G14" i="4"/>
  <c r="F14" i="4"/>
  <c r="F13" i="4"/>
  <c r="G13" i="4"/>
  <c r="G12" i="4"/>
  <c r="F12" i="4"/>
  <c r="G11" i="4"/>
  <c r="F11" i="4"/>
  <c r="F10" i="4"/>
  <c r="G10" i="4"/>
  <c r="F9" i="4"/>
  <c r="G9" i="4"/>
  <c r="G8" i="4"/>
  <c r="F8" i="4"/>
  <c r="F7" i="4"/>
  <c r="G7" i="4"/>
  <c r="F6" i="4"/>
  <c r="G6" i="4"/>
  <c r="F5" i="4"/>
  <c r="G5" i="4"/>
  <c r="F4" i="4"/>
  <c r="G4" i="4"/>
  <c r="I3" i="4"/>
  <c r="H3" i="4"/>
  <c r="F2" i="4"/>
  <c r="G2" i="4"/>
  <c r="H395" i="4" l="1"/>
  <c r="I395" i="4"/>
  <c r="H394" i="4"/>
  <c r="I394" i="4"/>
  <c r="H393" i="4"/>
  <c r="I393" i="4"/>
  <c r="H392" i="4"/>
  <c r="I392" i="4"/>
  <c r="H391" i="4"/>
  <c r="I391" i="4"/>
  <c r="H390" i="4"/>
  <c r="I390" i="4"/>
  <c r="H389" i="4"/>
  <c r="I389" i="4"/>
  <c r="H388" i="4"/>
  <c r="I388" i="4"/>
  <c r="H387" i="4"/>
  <c r="I387" i="4"/>
  <c r="H386" i="4"/>
  <c r="I386" i="4"/>
  <c r="H385" i="4"/>
  <c r="I385" i="4"/>
  <c r="H384" i="4"/>
  <c r="I384" i="4"/>
  <c r="H383" i="4"/>
  <c r="I383" i="4"/>
  <c r="H382" i="4"/>
  <c r="I382" i="4"/>
  <c r="H381" i="4"/>
  <c r="I381" i="4"/>
  <c r="H380" i="4"/>
  <c r="I380" i="4"/>
  <c r="H379" i="4"/>
  <c r="I379" i="4"/>
  <c r="H378" i="4"/>
  <c r="I378" i="4"/>
  <c r="H377" i="4"/>
  <c r="I377" i="4"/>
  <c r="H376" i="4"/>
  <c r="I376" i="4"/>
  <c r="H375" i="4"/>
  <c r="I375" i="4"/>
  <c r="H374" i="4"/>
  <c r="I374" i="4"/>
  <c r="H373" i="4"/>
  <c r="I373" i="4"/>
  <c r="H372" i="4"/>
  <c r="I372" i="4"/>
  <c r="H371" i="4"/>
  <c r="I371" i="4"/>
  <c r="H370" i="4"/>
  <c r="I370" i="4"/>
  <c r="H369" i="4"/>
  <c r="I369" i="4"/>
  <c r="H368" i="4"/>
  <c r="I368" i="4"/>
  <c r="H367" i="4"/>
  <c r="I367" i="4"/>
  <c r="H366" i="4"/>
  <c r="I366" i="4"/>
  <c r="H365" i="4"/>
  <c r="I365" i="4"/>
  <c r="H363" i="4"/>
  <c r="I363" i="4"/>
  <c r="H362" i="4"/>
  <c r="I362" i="4"/>
  <c r="H361" i="4"/>
  <c r="I361" i="4"/>
  <c r="H360" i="4"/>
  <c r="I360" i="4"/>
  <c r="H359" i="4"/>
  <c r="I359" i="4"/>
  <c r="H358" i="4"/>
  <c r="I358" i="4"/>
  <c r="H357" i="4"/>
  <c r="I357" i="4"/>
  <c r="H356" i="4"/>
  <c r="I356" i="4"/>
  <c r="H355" i="4"/>
  <c r="I355" i="4"/>
  <c r="H354" i="4"/>
  <c r="I354" i="4"/>
  <c r="H353" i="4"/>
  <c r="I353" i="4"/>
  <c r="H352" i="4"/>
  <c r="I352" i="4"/>
  <c r="H351" i="4"/>
  <c r="I351" i="4"/>
  <c r="H350" i="4"/>
  <c r="I350" i="4"/>
  <c r="H349" i="4"/>
  <c r="I349" i="4"/>
  <c r="H348" i="4"/>
  <c r="I348" i="4"/>
  <c r="H347" i="4"/>
  <c r="I347" i="4"/>
  <c r="H346" i="4"/>
  <c r="I346" i="4"/>
  <c r="H345" i="4"/>
  <c r="I345" i="4"/>
  <c r="H344" i="4"/>
  <c r="I344" i="4"/>
  <c r="H343" i="4"/>
  <c r="I343" i="4"/>
  <c r="H342" i="4"/>
  <c r="I342" i="4"/>
  <c r="H341" i="4"/>
  <c r="I341" i="4"/>
  <c r="H340" i="4"/>
  <c r="I340" i="4"/>
  <c r="H339" i="4"/>
  <c r="I339" i="4"/>
  <c r="H338" i="4"/>
  <c r="I338" i="4"/>
  <c r="H337" i="4"/>
  <c r="I337" i="4"/>
  <c r="H336" i="4"/>
  <c r="I336" i="4"/>
  <c r="H335" i="4"/>
  <c r="I335" i="4"/>
  <c r="H334" i="4"/>
  <c r="I334" i="4"/>
  <c r="H333" i="4"/>
  <c r="I333" i="4"/>
  <c r="H332" i="4"/>
  <c r="I332" i="4"/>
  <c r="H331" i="4"/>
  <c r="I331" i="4"/>
  <c r="H330" i="4"/>
  <c r="I330" i="4"/>
  <c r="H329" i="4"/>
  <c r="I329" i="4"/>
  <c r="H328" i="4"/>
  <c r="I328" i="4"/>
  <c r="H327" i="4"/>
  <c r="I327" i="4"/>
  <c r="H326" i="4"/>
  <c r="I326" i="4"/>
  <c r="H325" i="4"/>
  <c r="I325" i="4"/>
  <c r="H324" i="4"/>
  <c r="I324" i="4"/>
  <c r="H323" i="4"/>
  <c r="I323" i="4"/>
  <c r="H322" i="4"/>
  <c r="I322" i="4"/>
  <c r="H321" i="4"/>
  <c r="I321" i="4"/>
  <c r="H320" i="4"/>
  <c r="I320" i="4"/>
  <c r="H319" i="4"/>
  <c r="I319" i="4"/>
  <c r="H318" i="4"/>
  <c r="I318" i="4"/>
  <c r="H317" i="4"/>
  <c r="I317" i="4"/>
  <c r="H316" i="4"/>
  <c r="I316" i="4"/>
  <c r="H315" i="4"/>
  <c r="I315" i="4"/>
  <c r="H314" i="4"/>
  <c r="I314" i="4"/>
  <c r="H313" i="4"/>
  <c r="I313" i="4"/>
  <c r="H312" i="4"/>
  <c r="I312" i="4"/>
  <c r="H311" i="4"/>
  <c r="I311" i="4"/>
  <c r="H310" i="4"/>
  <c r="I310" i="4"/>
  <c r="H309" i="4"/>
  <c r="I309" i="4"/>
  <c r="H308" i="4"/>
  <c r="I308" i="4"/>
  <c r="H307" i="4"/>
  <c r="I307" i="4"/>
  <c r="H306" i="4"/>
  <c r="I306" i="4"/>
  <c r="H305" i="4"/>
  <c r="I305" i="4"/>
  <c r="H304" i="4"/>
  <c r="I304" i="4"/>
  <c r="H303" i="4"/>
  <c r="I303" i="4"/>
  <c r="H302" i="4"/>
  <c r="I302" i="4"/>
  <c r="H301" i="4"/>
  <c r="I301" i="4"/>
  <c r="H300" i="4"/>
  <c r="I300" i="4"/>
  <c r="H299" i="4"/>
  <c r="I299" i="4"/>
  <c r="H298" i="4"/>
  <c r="I298" i="4"/>
  <c r="H297" i="4"/>
  <c r="I297" i="4"/>
  <c r="H296" i="4"/>
  <c r="I296" i="4"/>
  <c r="H295" i="4"/>
  <c r="I295" i="4"/>
  <c r="H294" i="4"/>
  <c r="I294" i="4"/>
  <c r="H293" i="4"/>
  <c r="I293" i="4"/>
  <c r="H292" i="4"/>
  <c r="I292" i="4"/>
  <c r="H291" i="4"/>
  <c r="I291" i="4"/>
  <c r="H290" i="4"/>
  <c r="I290" i="4"/>
  <c r="H289" i="4"/>
  <c r="I289" i="4"/>
  <c r="H288" i="4"/>
  <c r="I288" i="4"/>
  <c r="H287" i="4"/>
  <c r="I287" i="4"/>
  <c r="H286" i="4"/>
  <c r="I286" i="4"/>
  <c r="H285" i="4"/>
  <c r="I285" i="4"/>
  <c r="H283" i="4"/>
  <c r="I283" i="4"/>
  <c r="H282" i="4"/>
  <c r="I282" i="4"/>
  <c r="H281" i="4"/>
  <c r="I281" i="4"/>
  <c r="H280" i="4"/>
  <c r="I280" i="4"/>
  <c r="H279" i="4"/>
  <c r="I279" i="4"/>
  <c r="H278" i="4"/>
  <c r="I278" i="4"/>
  <c r="H277" i="4"/>
  <c r="I277" i="4"/>
  <c r="H276" i="4"/>
  <c r="I276" i="4"/>
  <c r="H275" i="4"/>
  <c r="I275" i="4"/>
  <c r="H274" i="4"/>
  <c r="I274" i="4"/>
  <c r="H273" i="4"/>
  <c r="I273" i="4"/>
  <c r="H272" i="4"/>
  <c r="I272" i="4"/>
  <c r="H270" i="4"/>
  <c r="I270" i="4"/>
  <c r="I269" i="4"/>
  <c r="H269" i="4"/>
  <c r="H267" i="4"/>
  <c r="I267" i="4"/>
  <c r="H266" i="4"/>
  <c r="I266" i="4"/>
  <c r="H265" i="4"/>
  <c r="I265" i="4"/>
  <c r="H264" i="4"/>
  <c r="I264" i="4"/>
  <c r="H263" i="4"/>
  <c r="I263" i="4"/>
  <c r="H262" i="4"/>
  <c r="I262" i="4"/>
  <c r="H261" i="4"/>
  <c r="I261" i="4"/>
  <c r="H260" i="4"/>
  <c r="I260" i="4"/>
  <c r="H259" i="4"/>
  <c r="I259" i="4"/>
  <c r="H258" i="4"/>
  <c r="I258" i="4"/>
  <c r="I256" i="4"/>
  <c r="H256" i="4"/>
  <c r="I255" i="4"/>
  <c r="H255" i="4"/>
  <c r="H254" i="4"/>
  <c r="I254" i="4"/>
  <c r="H253" i="4"/>
  <c r="I253" i="4"/>
  <c r="H251" i="4"/>
  <c r="I251" i="4"/>
  <c r="H250" i="4"/>
  <c r="I250" i="4"/>
  <c r="H249" i="4"/>
  <c r="I249" i="4"/>
  <c r="H248" i="4"/>
  <c r="I248" i="4"/>
  <c r="H247" i="4"/>
  <c r="I247" i="4"/>
  <c r="H246" i="4"/>
  <c r="I246" i="4"/>
  <c r="H245" i="4"/>
  <c r="I245" i="4"/>
  <c r="H244" i="4"/>
  <c r="I244" i="4"/>
  <c r="H243" i="4"/>
  <c r="I243" i="4"/>
  <c r="H242" i="4"/>
  <c r="I242" i="4"/>
  <c r="H241" i="4"/>
  <c r="I241" i="4"/>
  <c r="H240" i="4"/>
  <c r="I240" i="4"/>
  <c r="H239" i="4"/>
  <c r="I239" i="4"/>
  <c r="H238" i="4"/>
  <c r="I238" i="4"/>
  <c r="H237" i="4"/>
  <c r="I237" i="4"/>
  <c r="H235" i="4"/>
  <c r="I235" i="4"/>
  <c r="H234" i="4"/>
  <c r="I234" i="4"/>
  <c r="H233" i="4"/>
  <c r="I233" i="4"/>
  <c r="H232" i="4"/>
  <c r="I232" i="4"/>
  <c r="H231" i="4"/>
  <c r="I231" i="4"/>
  <c r="H230" i="4"/>
  <c r="I230" i="4"/>
  <c r="H229" i="4"/>
  <c r="I229" i="4"/>
  <c r="H228" i="4"/>
  <c r="I228" i="4"/>
  <c r="H227" i="4"/>
  <c r="I227" i="4"/>
  <c r="H226" i="4"/>
  <c r="I226" i="4"/>
  <c r="H225" i="4"/>
  <c r="I225" i="4"/>
  <c r="H224" i="4"/>
  <c r="I224" i="4"/>
  <c r="H223" i="4"/>
  <c r="I223" i="4"/>
  <c r="H222" i="4"/>
  <c r="I222" i="4"/>
  <c r="H221" i="4"/>
  <c r="I221" i="4"/>
  <c r="H220" i="4"/>
  <c r="I220" i="4"/>
  <c r="H219" i="4"/>
  <c r="I219" i="4"/>
  <c r="H218" i="4"/>
  <c r="I218" i="4"/>
  <c r="H217" i="4"/>
  <c r="I217" i="4"/>
  <c r="H216" i="4"/>
  <c r="I216" i="4"/>
  <c r="H215" i="4"/>
  <c r="I215" i="4"/>
  <c r="H214" i="4"/>
  <c r="I214" i="4"/>
  <c r="H213" i="4"/>
  <c r="I213" i="4"/>
  <c r="H212" i="4"/>
  <c r="I212" i="4"/>
  <c r="H211" i="4"/>
  <c r="I211" i="4"/>
  <c r="H210" i="4"/>
  <c r="I210" i="4"/>
  <c r="H209" i="4"/>
  <c r="I209" i="4"/>
  <c r="H208" i="4"/>
  <c r="I208" i="4"/>
  <c r="H207" i="4"/>
  <c r="I207" i="4"/>
  <c r="I206" i="4"/>
  <c r="H206" i="4"/>
  <c r="I205" i="4"/>
  <c r="H205" i="4"/>
  <c r="H204" i="4"/>
  <c r="I204" i="4"/>
  <c r="H203" i="4"/>
  <c r="I203" i="4"/>
  <c r="H202" i="4"/>
  <c r="I202" i="4"/>
  <c r="H201" i="4"/>
  <c r="I201" i="4"/>
  <c r="H200" i="4"/>
  <c r="I200" i="4"/>
  <c r="H199" i="4"/>
  <c r="I199" i="4"/>
  <c r="H198" i="4"/>
  <c r="I198" i="4"/>
  <c r="H197" i="4"/>
  <c r="I197" i="4"/>
  <c r="H196" i="4"/>
  <c r="I196" i="4"/>
  <c r="H195" i="4"/>
  <c r="I195" i="4"/>
  <c r="H194" i="4"/>
  <c r="I194" i="4"/>
  <c r="H193" i="4"/>
  <c r="I193" i="4"/>
  <c r="H192" i="4"/>
  <c r="I192" i="4"/>
  <c r="H191" i="4"/>
  <c r="I191" i="4"/>
  <c r="H190" i="4"/>
  <c r="I190" i="4"/>
  <c r="H189" i="4"/>
  <c r="I189" i="4"/>
  <c r="H188" i="4"/>
  <c r="I188" i="4"/>
  <c r="H187" i="4"/>
  <c r="I187" i="4"/>
  <c r="H186" i="4"/>
  <c r="I186" i="4"/>
  <c r="H185" i="4"/>
  <c r="I185" i="4"/>
  <c r="H184" i="4"/>
  <c r="I184" i="4"/>
  <c r="I183" i="4"/>
  <c r="H183" i="4"/>
  <c r="H182" i="4"/>
  <c r="I182" i="4"/>
  <c r="I181" i="4"/>
  <c r="H181" i="4"/>
  <c r="I180" i="4"/>
  <c r="H180" i="4"/>
  <c r="H179" i="4"/>
  <c r="I179" i="4"/>
  <c r="H178" i="4"/>
  <c r="I178" i="4"/>
  <c r="I177" i="4"/>
  <c r="H177" i="4"/>
  <c r="H176" i="4"/>
  <c r="I176" i="4"/>
  <c r="I175" i="4"/>
  <c r="H175" i="4"/>
  <c r="I174" i="4"/>
  <c r="H174" i="4"/>
  <c r="I173" i="4"/>
  <c r="H173" i="4"/>
  <c r="H172" i="4"/>
  <c r="I172" i="4"/>
  <c r="H171" i="4"/>
  <c r="I171" i="4"/>
  <c r="H170" i="4"/>
  <c r="I170" i="4"/>
  <c r="H169" i="4"/>
  <c r="I169" i="4"/>
  <c r="H168" i="4"/>
  <c r="I168" i="4"/>
  <c r="H167" i="4"/>
  <c r="I167" i="4"/>
  <c r="H166" i="4"/>
  <c r="I166" i="4"/>
  <c r="H165" i="4"/>
  <c r="I165" i="4"/>
  <c r="H164" i="4"/>
  <c r="I164" i="4"/>
  <c r="H163" i="4"/>
  <c r="I163" i="4"/>
  <c r="H162" i="4"/>
  <c r="I162" i="4"/>
  <c r="H161" i="4"/>
  <c r="I161" i="4"/>
  <c r="H160" i="4"/>
  <c r="I160" i="4"/>
  <c r="H159" i="4"/>
  <c r="I159" i="4"/>
  <c r="H158" i="4"/>
  <c r="I158" i="4"/>
  <c r="H157" i="4"/>
  <c r="I157" i="4"/>
  <c r="H156" i="4"/>
  <c r="I156" i="4"/>
  <c r="H155" i="4"/>
  <c r="I155" i="4"/>
  <c r="H154" i="4"/>
  <c r="I154" i="4"/>
  <c r="H153" i="4"/>
  <c r="I153" i="4"/>
  <c r="H152" i="4"/>
  <c r="I152" i="4"/>
  <c r="H151" i="4"/>
  <c r="I151" i="4"/>
  <c r="H150" i="4"/>
  <c r="I150" i="4"/>
  <c r="H149" i="4"/>
  <c r="I149" i="4"/>
  <c r="H148" i="4"/>
  <c r="I148" i="4"/>
  <c r="H147" i="4"/>
  <c r="I147" i="4"/>
  <c r="H146" i="4"/>
  <c r="I146" i="4"/>
  <c r="H145" i="4"/>
  <c r="I145" i="4"/>
  <c r="H144" i="4"/>
  <c r="I144" i="4"/>
  <c r="H143" i="4"/>
  <c r="I143" i="4"/>
  <c r="H142" i="4"/>
  <c r="I142" i="4"/>
  <c r="H141" i="4"/>
  <c r="I141" i="4"/>
  <c r="H140" i="4"/>
  <c r="I140" i="4"/>
  <c r="H139" i="4"/>
  <c r="I139" i="4"/>
  <c r="H138" i="4"/>
  <c r="I138" i="4"/>
  <c r="H137" i="4"/>
  <c r="I137" i="4"/>
  <c r="H136" i="4"/>
  <c r="I136" i="4"/>
  <c r="H135" i="4"/>
  <c r="I135" i="4"/>
  <c r="H134" i="4"/>
  <c r="I134" i="4"/>
  <c r="H133" i="4"/>
  <c r="I133" i="4"/>
  <c r="H132" i="4"/>
  <c r="I132" i="4"/>
  <c r="H131" i="4"/>
  <c r="I131" i="4"/>
  <c r="I130" i="4"/>
  <c r="H130" i="4"/>
  <c r="H129" i="4"/>
  <c r="I129" i="4"/>
  <c r="H128" i="4"/>
  <c r="I128" i="4"/>
  <c r="H127" i="4"/>
  <c r="I127" i="4"/>
  <c r="I126" i="4"/>
  <c r="H126" i="4"/>
  <c r="H125" i="4"/>
  <c r="I125" i="4"/>
  <c r="I124" i="4"/>
  <c r="H124" i="4"/>
  <c r="H123" i="4"/>
  <c r="I123" i="4"/>
  <c r="H122" i="4"/>
  <c r="I122" i="4"/>
  <c r="H121" i="4"/>
  <c r="I121" i="4"/>
  <c r="H120" i="4"/>
  <c r="I120" i="4"/>
  <c r="H119" i="4"/>
  <c r="I119" i="4"/>
  <c r="H118" i="4"/>
  <c r="I118" i="4"/>
  <c r="H117" i="4"/>
  <c r="I117" i="4"/>
  <c r="H116" i="4"/>
  <c r="I116" i="4"/>
  <c r="H115" i="4"/>
  <c r="I115" i="4"/>
  <c r="H114" i="4"/>
  <c r="I114" i="4"/>
  <c r="I113" i="4"/>
  <c r="H113" i="4"/>
  <c r="I112" i="4"/>
  <c r="H112" i="4"/>
  <c r="H111" i="4"/>
  <c r="I111" i="4"/>
  <c r="I110" i="4"/>
  <c r="H110" i="4"/>
  <c r="I109" i="4"/>
  <c r="H109" i="4"/>
  <c r="H108" i="4"/>
  <c r="I108" i="4"/>
  <c r="H107" i="4"/>
  <c r="I107" i="4"/>
  <c r="H106" i="4"/>
  <c r="I106" i="4"/>
  <c r="H105" i="4"/>
  <c r="I105" i="4"/>
  <c r="H104" i="4"/>
  <c r="I104" i="4"/>
  <c r="H103" i="4"/>
  <c r="I103" i="4"/>
  <c r="H102" i="4"/>
  <c r="I102" i="4"/>
  <c r="H101" i="4"/>
  <c r="I101" i="4"/>
  <c r="H100" i="4"/>
  <c r="I100" i="4"/>
  <c r="H99" i="4"/>
  <c r="I99" i="4"/>
  <c r="H98" i="4"/>
  <c r="I98" i="4"/>
  <c r="H97" i="4"/>
  <c r="I97" i="4"/>
  <c r="H96" i="4"/>
  <c r="I96" i="4"/>
  <c r="H95" i="4"/>
  <c r="I95" i="4"/>
  <c r="H94" i="4"/>
  <c r="I94" i="4"/>
  <c r="H93" i="4"/>
  <c r="I93" i="4"/>
  <c r="H92" i="4"/>
  <c r="I92" i="4"/>
  <c r="H91" i="4"/>
  <c r="I91" i="4"/>
  <c r="H90" i="4"/>
  <c r="I90" i="4"/>
  <c r="H89" i="4"/>
  <c r="I89" i="4"/>
  <c r="H88" i="4"/>
  <c r="I88" i="4"/>
  <c r="H87" i="4"/>
  <c r="I87" i="4"/>
  <c r="H85" i="4"/>
  <c r="I85" i="4"/>
  <c r="H84" i="4"/>
  <c r="I84" i="4"/>
  <c r="H83" i="4"/>
  <c r="I83" i="4"/>
  <c r="H82" i="4"/>
  <c r="I82" i="4"/>
  <c r="H81" i="4"/>
  <c r="I81" i="4"/>
  <c r="H80" i="4"/>
  <c r="I80" i="4"/>
  <c r="H79" i="4"/>
  <c r="I79" i="4"/>
  <c r="H78" i="4"/>
  <c r="I78" i="4"/>
  <c r="H77" i="4"/>
  <c r="I77" i="4"/>
  <c r="H76" i="4"/>
  <c r="I76" i="4"/>
  <c r="H75" i="4"/>
  <c r="I75" i="4"/>
  <c r="H74" i="4"/>
  <c r="I74" i="4"/>
  <c r="H73" i="4"/>
  <c r="I73" i="4"/>
  <c r="H72" i="4"/>
  <c r="I72" i="4"/>
  <c r="I70" i="4"/>
  <c r="H70" i="4"/>
  <c r="H69" i="4"/>
  <c r="I69" i="4"/>
  <c r="H68" i="4"/>
  <c r="I68" i="4"/>
  <c r="H67" i="4"/>
  <c r="I67" i="4"/>
  <c r="H66" i="4"/>
  <c r="I66" i="4"/>
  <c r="H65" i="4"/>
  <c r="I65" i="4"/>
  <c r="H64" i="4"/>
  <c r="I64" i="4"/>
  <c r="I63" i="4"/>
  <c r="H63" i="4"/>
  <c r="H62" i="4"/>
  <c r="I62" i="4"/>
  <c r="I61" i="4"/>
  <c r="H61" i="4"/>
  <c r="H60" i="4"/>
  <c r="I60" i="4"/>
  <c r="H59" i="4"/>
  <c r="I59" i="4"/>
  <c r="H58" i="4"/>
  <c r="I58" i="4"/>
  <c r="I57" i="4"/>
  <c r="H57" i="4"/>
  <c r="H55" i="4"/>
  <c r="I55" i="4"/>
  <c r="H54" i="4"/>
  <c r="I54" i="4"/>
  <c r="I53" i="4"/>
  <c r="H53" i="4"/>
  <c r="H52" i="4"/>
  <c r="I52" i="4"/>
  <c r="I50" i="4"/>
  <c r="H50" i="4"/>
  <c r="H48" i="4"/>
  <c r="I48" i="4"/>
  <c r="I47" i="4"/>
  <c r="H47" i="4"/>
  <c r="I46" i="4"/>
  <c r="H46" i="4"/>
  <c r="I45" i="4"/>
  <c r="H45" i="4"/>
  <c r="H44" i="4"/>
  <c r="I44" i="4"/>
  <c r="H43" i="4"/>
  <c r="I43" i="4"/>
  <c r="H42" i="4"/>
  <c r="I42" i="4"/>
  <c r="H41" i="4"/>
  <c r="I41" i="4"/>
  <c r="H40" i="4"/>
  <c r="I40" i="4"/>
  <c r="H39" i="4"/>
  <c r="I39" i="4"/>
  <c r="H38" i="4"/>
  <c r="I38" i="4"/>
  <c r="H37" i="4"/>
  <c r="I37" i="4"/>
  <c r="H36" i="4"/>
  <c r="I36" i="4"/>
  <c r="H35" i="4"/>
  <c r="I35" i="4"/>
  <c r="H34" i="4"/>
  <c r="I34" i="4"/>
  <c r="H33" i="4"/>
  <c r="I33" i="4"/>
  <c r="H32" i="4"/>
  <c r="I32" i="4"/>
  <c r="H31" i="4"/>
  <c r="I31" i="4"/>
  <c r="H30" i="4"/>
  <c r="I30" i="4"/>
  <c r="I29" i="4"/>
  <c r="H29" i="4"/>
  <c r="H28" i="4"/>
  <c r="I28" i="4"/>
  <c r="H27" i="4"/>
  <c r="I27" i="4"/>
  <c r="H26" i="4"/>
  <c r="I26" i="4"/>
  <c r="H25" i="4"/>
  <c r="I25" i="4"/>
  <c r="H24" i="4"/>
  <c r="I24" i="4"/>
  <c r="H23" i="4"/>
  <c r="I23" i="4"/>
  <c r="H22" i="4"/>
  <c r="I22" i="4"/>
  <c r="H21" i="4"/>
  <c r="I21" i="4"/>
  <c r="H20" i="4"/>
  <c r="I20" i="4"/>
  <c r="H19" i="4"/>
  <c r="I19" i="4"/>
  <c r="H18" i="4"/>
  <c r="I18" i="4"/>
  <c r="H17" i="4"/>
  <c r="I17" i="4"/>
  <c r="H16" i="4"/>
  <c r="I16" i="4"/>
  <c r="I15" i="4"/>
  <c r="H15" i="4"/>
  <c r="I14" i="4"/>
  <c r="H14" i="4"/>
  <c r="I13" i="4"/>
  <c r="H13" i="4"/>
  <c r="I12" i="4"/>
  <c r="H12" i="4"/>
  <c r="H11" i="4"/>
  <c r="I11" i="4"/>
  <c r="I10" i="4"/>
  <c r="H10" i="4"/>
  <c r="I9" i="4"/>
  <c r="H9" i="4"/>
  <c r="H8" i="4"/>
  <c r="I8" i="4"/>
  <c r="H7" i="4"/>
  <c r="I7" i="4"/>
  <c r="I6" i="4"/>
  <c r="H6" i="4"/>
  <c r="H5" i="4"/>
  <c r="I5" i="4"/>
  <c r="H4" i="4"/>
  <c r="I4" i="4"/>
  <c r="H2" i="4"/>
  <c r="I2" i="4"/>
  <c r="J6" i="1" l="1"/>
  <c r="L21" i="1"/>
  <c r="P21" i="1"/>
  <c r="I6" i="1"/>
  <c r="I7" i="1"/>
  <c r="J7" i="1"/>
  <c r="L22" i="1"/>
  <c r="M22" i="1"/>
  <c r="I8" i="1"/>
  <c r="J8" i="1"/>
  <c r="L23" i="1"/>
  <c r="M23" i="1"/>
  <c r="K8" i="1"/>
  <c r="L8" i="1"/>
  <c r="I11" i="1"/>
  <c r="J11" i="1"/>
  <c r="K11" i="1"/>
  <c r="L11" i="1"/>
  <c r="K7" i="1"/>
  <c r="L7" i="1"/>
  <c r="I10" i="1"/>
  <c r="F7" i="2"/>
  <c r="L26" i="1"/>
  <c r="M26" i="1"/>
  <c r="I9" i="1"/>
  <c r="J9" i="1"/>
  <c r="K9" i="1"/>
  <c r="L9" i="1"/>
  <c r="F8" i="2"/>
  <c r="H8" i="2"/>
  <c r="I8" i="2"/>
  <c r="J10" i="1"/>
  <c r="L25" i="1"/>
  <c r="R22" i="1"/>
  <c r="R26" i="1"/>
  <c r="F6" i="2"/>
  <c r="M25" i="1"/>
  <c r="R25" i="1"/>
  <c r="P26" i="1"/>
  <c r="N22" i="1"/>
  <c r="P25" i="1"/>
  <c r="N21" i="1"/>
  <c r="K6" i="1"/>
  <c r="L6" i="1"/>
  <c r="F5" i="2"/>
  <c r="M21" i="1"/>
  <c r="F10" i="2"/>
  <c r="G5" i="2"/>
  <c r="G8" i="2"/>
  <c r="S26" i="1"/>
  <c r="G7" i="2"/>
  <c r="O23" i="1"/>
  <c r="R21" i="1"/>
  <c r="N26" i="1"/>
  <c r="S22" i="1"/>
  <c r="O22" i="1"/>
  <c r="H6" i="2"/>
  <c r="K10" i="1"/>
  <c r="H7" i="2"/>
  <c r="N23" i="1"/>
  <c r="O21" i="1"/>
  <c r="I5" i="2"/>
  <c r="Q26" i="1"/>
  <c r="Q25" i="1"/>
  <c r="G10" i="2"/>
  <c r="R23" i="1"/>
  <c r="Q22" i="1"/>
  <c r="L10" i="1"/>
  <c r="N25" i="1"/>
  <c r="Q23" i="1"/>
  <c r="P23" i="1"/>
  <c r="P22" i="1"/>
  <c r="S25" i="1"/>
  <c r="Q21" i="1"/>
  <c r="O25" i="1"/>
  <c r="O26" i="1"/>
  <c r="G6" i="2"/>
  <c r="L24" i="1"/>
  <c r="M24" i="1"/>
  <c r="R24" i="1"/>
  <c r="F9" i="2"/>
  <c r="I6" i="2"/>
  <c r="S21" i="1"/>
  <c r="H10" i="2"/>
  <c r="N24" i="1"/>
  <c r="H9" i="2"/>
  <c r="I9" i="2"/>
  <c r="S23" i="1"/>
  <c r="I7" i="2"/>
  <c r="I10" i="2"/>
  <c r="S24" i="1"/>
  <c r="G9" i="2"/>
  <c r="Q24" i="1"/>
  <c r="O24" i="1"/>
  <c r="P24" i="1"/>
</calcChain>
</file>

<file path=xl/sharedStrings.xml><?xml version="1.0" encoding="utf-8"?>
<sst xmlns="http://schemas.openxmlformats.org/spreadsheetml/2006/main" count="79" uniqueCount="58">
  <si>
    <t>Month</t>
  </si>
  <si>
    <t>Year</t>
  </si>
  <si>
    <t>Mid</t>
  </si>
  <si>
    <t>Bid</t>
  </si>
  <si>
    <t>Ask</t>
  </si>
  <si>
    <t>Today</t>
  </si>
  <si>
    <t>Contract Date</t>
  </si>
  <si>
    <t>Time Lag (M)</t>
  </si>
  <si>
    <t>xlookup</t>
  </si>
  <si>
    <t>Forward VND</t>
  </si>
  <si>
    <t>JAN</t>
  </si>
  <si>
    <t>LRCc2</t>
  </si>
  <si>
    <t>FEB</t>
  </si>
  <si>
    <t>LRCc3</t>
  </si>
  <si>
    <t>MAR</t>
  </si>
  <si>
    <t>LRCc4</t>
  </si>
  <si>
    <t>APR</t>
  </si>
  <si>
    <t>LRCc5</t>
  </si>
  <si>
    <t>MAY</t>
  </si>
  <si>
    <t>LRCc6</t>
  </si>
  <si>
    <t>JUN</t>
  </si>
  <si>
    <t>LRCc7</t>
  </si>
  <si>
    <t>JUL</t>
  </si>
  <si>
    <t>AUG</t>
  </si>
  <si>
    <t>SEP</t>
  </si>
  <si>
    <t>OCT</t>
  </si>
  <si>
    <t>NOV</t>
  </si>
  <si>
    <t>DEC</t>
  </si>
  <si>
    <t>Forward Month</t>
  </si>
  <si>
    <t>VND</t>
  </si>
  <si>
    <t>Last</t>
  </si>
  <si>
    <t>VND=</t>
  </si>
  <si>
    <t>VND1MV=</t>
  </si>
  <si>
    <t>VND2MV=</t>
  </si>
  <si>
    <t>VND3MV=</t>
  </si>
  <si>
    <t>VND6MV=</t>
  </si>
  <si>
    <t>VND1YV=</t>
  </si>
  <si>
    <t>Vietnam Farmer's Price</t>
  </si>
  <si>
    <t>Diff</t>
  </si>
  <si>
    <t>FOB</t>
  </si>
  <si>
    <t>FOB VND ('000)</t>
  </si>
  <si>
    <t>Farmer Price</t>
  </si>
  <si>
    <t>Room For RC</t>
  </si>
  <si>
    <t>dollars</t>
  </si>
  <si>
    <t>Farmer-FOB</t>
  </si>
  <si>
    <t xml:space="preserve">Farmer Price </t>
  </si>
  <si>
    <t>VND ('000)</t>
  </si>
  <si>
    <t>COF-RBST-VN2DF</t>
  </si>
  <si>
    <t>Timestamp</t>
  </si>
  <si>
    <t>Trade Close</t>
  </si>
  <si>
    <t>Bid Close</t>
  </si>
  <si>
    <t>Date</t>
  </si>
  <si>
    <t>LRC</t>
  </si>
  <si>
    <t>FOB ($)</t>
  </si>
  <si>
    <t>FOB (VND) in K</t>
  </si>
  <si>
    <t>Farmer's Price</t>
  </si>
  <si>
    <t>Cost of Production</t>
  </si>
  <si>
    <t xml:space="preserve">Avg Farmer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</si>
</sst>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_ * #,##0_ ;_ * \-#,##0_ ;_ * &quot;-&quot;??_ ;_ @_ "/>
    <numFmt numFmtId="166" formatCode="_-* #,##0_-;\-* #,##0_-;_-* &quot;-&quot;??_-;_-@_-"/>
    <numFmt numFmtId="167" formatCode="[$$-409]#,##0.00"/>
    <numFmt numFmtId="168" formatCode="[$$-409]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0"/>
      <name val="Abadi"/>
      <family val="2"/>
    </font>
    <font>
      <sz val="11"/>
      <color theme="0"/>
      <name val="Abad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4" borderId="0" xfId="0" applyFill="1"/>
    <xf numFmtId="0" fontId="0" fillId="4" borderId="0" xfId="0" quotePrefix="1" applyFill="1"/>
    <xf numFmtId="165" fontId="0" fillId="4" borderId="0" xfId="1" applyNumberFormat="1" applyFont="1" applyFill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3" fillId="3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3" fillId="3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0" fontId="3" fillId="5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166" fontId="1" fillId="0" borderId="0" xfId="1" applyNumberFormat="1" applyFont="1" applyAlignment="1">
      <alignment horizontal="right"/>
    </xf>
    <xf numFmtId="0" fontId="0" fillId="0" borderId="0" xfId="0" applyAlignment="1">
      <alignment horizontal="center" vertical="center"/>
    </xf>
    <xf numFmtId="14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quotePrefix="1"/>
    <xf numFmtId="166" fontId="0" fillId="2" borderId="0" xfId="1" applyNumberFormat="1" applyFont="1" applyFill="1" applyAlignment="1">
      <alignment horizontal="right"/>
    </xf>
    <xf numFmtId="3" fontId="0" fillId="0" borderId="0" xfId="0" applyNumberFormat="1" applyAlignment="1">
      <alignment horizontal="center"/>
    </xf>
    <xf numFmtId="0" fontId="3" fillId="5" borderId="0" xfId="0" applyFont="1" applyFill="1" applyAlignment="1">
      <alignment horizontal="right"/>
    </xf>
    <xf numFmtId="0" fontId="9" fillId="8" borderId="0" xfId="0" applyFont="1" applyFill="1" applyAlignment="1">
      <alignment horizontal="right" vertical="center"/>
    </xf>
    <xf numFmtId="165" fontId="0" fillId="4" borderId="0" xfId="1" quotePrefix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 t="s">
        <v>Updated at 14:02:52</v>
        <stp/>
        <stp>19</stp>
        <stp>14922531</stp>
        <tr r="C29" s="1"/>
      </tp>
      <tp t="s">
        <v>Updated at 14:02:52</v>
        <stp/>
        <stp>18</stp>
        <stp>14922531</stp>
        <tr r="C35" s="1"/>
      </tp>
      <tp t="s">
        <v>Updated at 14:02:52</v>
        <stp/>
        <stp>17</stp>
        <stp>14922531</stp>
        <tr r="C44" s="1"/>
      </tp>
      <tp t="s">
        <v>Retrieving...</v>
        <stp/>
        <stp>16</stp>
        <stp>14922531</stp>
        <tr r="G11" s="1"/>
      </tp>
      <tp t="s">
        <v>Retrieving...</v>
        <stp/>
        <stp>15</stp>
        <stp>14922531</stp>
        <tr r="B6" s="1"/>
      </tp>
      <tp t="s">
        <v>Retrieving...</v>
        <stp/>
        <stp>14</stp>
        <stp>14922531</stp>
        <tr r="G6" s="1"/>
      </tp>
      <tp t="s">
        <v>Retrieving...</v>
        <stp/>
        <stp>13</stp>
        <stp>14922531</stp>
        <tr r="B7" s="1"/>
      </tp>
      <tp t="s">
        <v>Retrieving...</v>
        <stp/>
        <stp>12</stp>
        <stp>14922531</stp>
        <tr r="F7" s="1"/>
      </tp>
      <tp t="s">
        <v>Retrieving...</v>
        <stp/>
        <stp>11</stp>
        <stp>14922531</stp>
        <tr r="G7" s="1"/>
      </tp>
      <tp t="s">
        <v>Retrieving...</v>
        <stp/>
        <stp>10</stp>
        <stp>14922531</stp>
        <tr r="B8" s="1"/>
      </tp>
      <tp t="s">
        <v>Retrieving...</v>
        <stp/>
        <stp>29</stp>
        <stp>14922531</stp>
        <tr r="F10" s="1"/>
      </tp>
      <tp t="s">
        <v>Retrieving...</v>
        <stp/>
        <stp>28</stp>
        <stp>14922531</stp>
        <tr r="F6" s="1"/>
      </tp>
      <tp t="s">
        <v>Updated at 14:02:52</v>
        <stp/>
        <stp>27</stp>
        <stp>14922531</stp>
        <tr r="C25" s="1"/>
      </tp>
      <tp t="s">
        <v>Retrieving...</v>
        <stp/>
        <stp>26</stp>
        <stp>14922531</stp>
        <tr r="G9" s="1"/>
      </tp>
      <tp t="s">
        <v>Retrieving...</v>
        <stp/>
        <stp>25</stp>
        <stp>14922531</stp>
        <tr r="F9" s="1"/>
      </tp>
      <tp t="s">
        <v>Retrieving...</v>
        <stp/>
        <stp>24</stp>
        <stp>14922531</stp>
        <tr r="B11" s="1"/>
      </tp>
      <tp t="s">
        <v>Updated at 14:02:52</v>
        <stp/>
        <stp>23</stp>
        <stp>14922531</stp>
        <tr r="C32" s="1"/>
      </tp>
      <tp t="s">
        <v>Updated at 14:02:52</v>
        <stp/>
        <stp>22</stp>
        <stp>14922531</stp>
        <tr r="C38" s="1"/>
      </tp>
      <tp t="s">
        <v>Updated at 14:02:52</v>
        <stp/>
        <stp>21</stp>
        <stp>14922531</stp>
        <tr r="C41" s="1"/>
      </tp>
      <tp t="s">
        <v>Retrieving...</v>
        <stp/>
        <stp>20</stp>
        <stp>14922531</stp>
        <tr r="G8" s="1"/>
      </tp>
      <tp t="s">
        <v>Retrieving...</v>
        <stp/>
        <stp>9</stp>
        <stp>14922531</stp>
        <tr r="F8" s="1"/>
      </tp>
      <tp t="s">
        <v>Retrieving...</v>
        <stp/>
        <stp>8</stp>
        <stp>14922531</stp>
        <tr r="B9" s="1"/>
      </tp>
      <tp t="s">
        <v>Retrieving...</v>
        <stp/>
        <stp>7</stp>
        <stp>14922531</stp>
        <tr r="B10" s="1"/>
      </tp>
      <tp t="s">
        <v>Retrieving...</v>
        <stp/>
        <stp>6</stp>
        <stp>14922531</stp>
        <tr r="G10" s="1"/>
      </tp>
      <tp t="s">
        <v>Retrieving...</v>
        <stp/>
        <stp>5</stp>
        <stp>14922531</stp>
        <tr r="F11" s="1"/>
      </tp>
    </main>
    <main first="refinitivshim.rtdserver.rdp.historicalpricing">
      <tp t="s">
        <v>Updated at 14:02:26</v>
        <stp/>
        <stp>3</stp>
        <stp>14922531</stp>
        <tr r="A4" s="3"/>
      </tp>
      <tp t="s">
        <v>Updated at 14:02:26</v>
        <stp/>
        <stp>2</stp>
        <stp>14922531</stp>
        <tr r="K4" s="3"/>
      </tp>
      <tp t="s">
        <v>Updated at 14:02:26</v>
        <stp/>
        <stp>4</stp>
        <stp>14922531</stp>
        <tr r="F4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Room For RC (in $)</a:t>
            </a:r>
          </a:p>
        </c:rich>
      </c:tx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HISTORICAL!$H$1</c:f>
              <c:strCache>
                <c:ptCount val="1"/>
                <c:pt idx="0">
                  <c:v>Room For RC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HISTORICAL!$A$2:$A$184</c:f>
              <c:numCache>
                <c:formatCode>m/d/yyyy</c:formatCode>
                <c:ptCount val="183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</c:numCache>
            </c:numRef>
          </c:cat>
          <c:val>
            <c:numRef>
              <c:f>HISTORICAL!$H$2:$H$184</c:f>
              <c:numCache>
                <c:formatCode>[$$-409]#,##0.0</c:formatCode>
                <c:ptCount val="183"/>
                <c:pt idx="0">
                  <c:v>941.20984215413216</c:v>
                </c:pt>
                <c:pt idx="1">
                  <c:v>524.44155844155841</c:v>
                </c:pt>
                <c:pt idx="2">
                  <c:v>467.77658464985115</c:v>
                </c:pt>
                <c:pt idx="3">
                  <c:v>428.72600946918692</c:v>
                </c:pt>
                <c:pt idx="4">
                  <c:v>540.01539053482111</c:v>
                </c:pt>
                <c:pt idx="5">
                  <c:v>456.06409319850792</c:v>
                </c:pt>
                <c:pt idx="6">
                  <c:v>326.76964623278411</c:v>
                </c:pt>
                <c:pt idx="7">
                  <c:v>483.61795166858451</c:v>
                </c:pt>
                <c:pt idx="8">
                  <c:v>281.69121030832969</c:v>
                </c:pt>
                <c:pt idx="9">
                  <c:v>127.14264914364543</c:v>
                </c:pt>
                <c:pt idx="10">
                  <c:v>213.61795166858474</c:v>
                </c:pt>
                <c:pt idx="11">
                  <c:v>65.439582221544498</c:v>
                </c:pt>
                <c:pt idx="12">
                  <c:v>84.585828988926735</c:v>
                </c:pt>
                <c:pt idx="13">
                  <c:v>132.2713384510148</c:v>
                </c:pt>
                <c:pt idx="14">
                  <c:v>32.847624852386417</c:v>
                </c:pt>
                <c:pt idx="15">
                  <c:v>-209.08596424495988</c:v>
                </c:pt>
                <c:pt idx="16">
                  <c:v>41.673768308921595</c:v>
                </c:pt>
                <c:pt idx="17">
                  <c:v>118.11970359110801</c:v>
                </c:pt>
                <c:pt idx="18">
                  <c:v>157.95470118005335</c:v>
                </c:pt>
                <c:pt idx="19">
                  <c:v>363.60398860398863</c:v>
                </c:pt>
                <c:pt idx="20">
                  <c:v>476.19410085632728</c:v>
                </c:pt>
                <c:pt idx="21">
                  <c:v>323.45248043759045</c:v>
                </c:pt>
                <c:pt idx="22">
                  <c:v>335.81973434535126</c:v>
                </c:pt>
                <c:pt idx="23">
                  <c:v>209.81646844245185</c:v>
                </c:pt>
                <c:pt idx="24">
                  <c:v>326.36170212765944</c:v>
                </c:pt>
                <c:pt idx="25">
                  <c:v>373.06374501992036</c:v>
                </c:pt>
                <c:pt idx="26">
                  <c:v>266.30645774701463</c:v>
                </c:pt>
                <c:pt idx="27">
                  <c:v>408.09185613261337</c:v>
                </c:pt>
                <c:pt idx="28">
                  <c:v>600.36170212765967</c:v>
                </c:pt>
                <c:pt idx="29">
                  <c:v>494.87799315849509</c:v>
                </c:pt>
                <c:pt idx="30">
                  <c:v>313.1222104144527</c:v>
                </c:pt>
                <c:pt idx="31">
                  <c:v>160.23824033517397</c:v>
                </c:pt>
                <c:pt idx="32">
                  <c:v>286.16380297823611</c:v>
                </c:pt>
                <c:pt idx="33">
                  <c:v>85.104540251812153</c:v>
                </c:pt>
                <c:pt idx="34">
                  <c:v>264.80714560122908</c:v>
                </c:pt>
                <c:pt idx="35">
                  <c:v>300.92592592592592</c:v>
                </c:pt>
                <c:pt idx="36">
                  <c:v>177.48938633732149</c:v>
                </c:pt>
                <c:pt idx="37">
                  <c:v>207.24277456647388</c:v>
                </c:pt>
                <c:pt idx="38">
                  <c:v>-99.757225433525903</c:v>
                </c:pt>
                <c:pt idx="39">
                  <c:v>-78.588799634522445</c:v>
                </c:pt>
                <c:pt idx="40">
                  <c:v>-29.950057186427621</c:v>
                </c:pt>
                <c:pt idx="41">
                  <c:v>25.049942813572155</c:v>
                </c:pt>
                <c:pt idx="42">
                  <c:v>14.154592127781214</c:v>
                </c:pt>
                <c:pt idx="43">
                  <c:v>122.11970359110779</c:v>
                </c:pt>
                <c:pt idx="44">
                  <c:v>287.67376830892158</c:v>
                </c:pt>
                <c:pt idx="45">
                  <c:v>-144.60456273764279</c:v>
                </c:pt>
                <c:pt idx="46">
                  <c:v>-295.66742596810951</c:v>
                </c:pt>
                <c:pt idx="47">
                  <c:v>-527.50447444259055</c:v>
                </c:pt>
                <c:pt idx="48">
                  <c:v>-768.59842221042231</c:v>
                </c:pt>
                <c:pt idx="49">
                  <c:v>-478.18026565464908</c:v>
                </c:pt>
                <c:pt idx="50">
                  <c:v>-655.32623169107853</c:v>
                </c:pt>
                <c:pt idx="51">
                  <c:v>-770.88029640889215</c:v>
                </c:pt>
                <c:pt idx="52">
                  <c:v>-650.4253572514441</c:v>
                </c:pt>
                <c:pt idx="53">
                  <c:v>-653.12200684150514</c:v>
                </c:pt>
                <c:pt idx="54">
                  <c:v>-626.57526759280324</c:v>
                </c:pt>
                <c:pt idx="55">
                  <c:v>-536.67241313984778</c:v>
                </c:pt>
                <c:pt idx="56">
                  <c:v>-271.71190295678525</c:v>
                </c:pt>
                <c:pt idx="57">
                  <c:v>-752.93625498007941</c:v>
                </c:pt>
                <c:pt idx="58">
                  <c:v>-959.957345971564</c:v>
                </c:pt>
                <c:pt idx="59">
                  <c:v>-900.69195751138113</c:v>
                </c:pt>
                <c:pt idx="60">
                  <c:v>-1394.6919575113802</c:v>
                </c:pt>
                <c:pt idx="61">
                  <c:v>-1063.480401439122</c:v>
                </c:pt>
                <c:pt idx="62">
                  <c:v>-468.95005718642767</c:v>
                </c:pt>
                <c:pt idx="63">
                  <c:v>112.16380297823623</c:v>
                </c:pt>
                <c:pt idx="64">
                  <c:v>337.09252967897066</c:v>
                </c:pt>
                <c:pt idx="65">
                  <c:v>352.44772117962481</c:v>
                </c:pt>
                <c:pt idx="66">
                  <c:v>435.60091830878105</c:v>
                </c:pt>
                <c:pt idx="67">
                  <c:v>480.98571592693281</c:v>
                </c:pt>
                <c:pt idx="68">
                  <c:v>214.46131805157569</c:v>
                </c:pt>
                <c:pt idx="69">
                  <c:v>187.98850574712645</c:v>
                </c:pt>
                <c:pt idx="70">
                  <c:v>32.446464801133175</c:v>
                </c:pt>
                <c:pt idx="71">
                  <c:v>-378.64258262874705</c:v>
                </c:pt>
                <c:pt idx="72">
                  <c:v>-515.21799201719386</c:v>
                </c:pt>
                <c:pt idx="73">
                  <c:v>-589.75722543352595</c:v>
                </c:pt>
                <c:pt idx="74">
                  <c:v>-879.87331536388137</c:v>
                </c:pt>
                <c:pt idx="75">
                  <c:v>-1000.0740740740741</c:v>
                </c:pt>
                <c:pt idx="76">
                  <c:v>-1309.4453522429478</c:v>
                </c:pt>
                <c:pt idx="77">
                  <c:v>-1477.4295612009237</c:v>
                </c:pt>
                <c:pt idx="78">
                  <c:v>-1562.5728886498116</c:v>
                </c:pt>
                <c:pt idx="79">
                  <c:v>-1343.0606881603906</c:v>
                </c:pt>
                <c:pt idx="80">
                  <c:v>-926.7459207459209</c:v>
                </c:pt>
                <c:pt idx="81">
                  <c:v>-1406.6545172547499</c:v>
                </c:pt>
                <c:pt idx="82">
                  <c:v>-1343.0187793427228</c:v>
                </c:pt>
                <c:pt idx="83">
                  <c:v>-1406.606576629478</c:v>
                </c:pt>
                <c:pt idx="84">
                  <c:v>-1368.7375441349548</c:v>
                </c:pt>
                <c:pt idx="85">
                  <c:v>-1256.9293702177754</c:v>
                </c:pt>
                <c:pt idx="86">
                  <c:v>-1211.5799373040747</c:v>
                </c:pt>
                <c:pt idx="87">
                  <c:v>-1427.3529411764705</c:v>
                </c:pt>
                <c:pt idx="88">
                  <c:v>-1670.6415094339623</c:v>
                </c:pt>
                <c:pt idx="89">
                  <c:v>-1499.230403800475</c:v>
                </c:pt>
                <c:pt idx="90">
                  <c:v>-1529.0558659217884</c:v>
                </c:pt>
                <c:pt idx="91">
                  <c:v>-1305.3971291866021</c:v>
                </c:pt>
                <c:pt idx="92">
                  <c:v>-760.25344895545948</c:v>
                </c:pt>
                <c:pt idx="93">
                  <c:v>-861.06896551724128</c:v>
                </c:pt>
                <c:pt idx="94">
                  <c:v>-980.26326129665995</c:v>
                </c:pt>
                <c:pt idx="95">
                  <c:v>-986.20648967551642</c:v>
                </c:pt>
                <c:pt idx="96">
                  <c:v>-990.26326129665995</c:v>
                </c:pt>
                <c:pt idx="97">
                  <c:v>-1087.1649996062058</c:v>
                </c:pt>
                <c:pt idx="98">
                  <c:v>-785.88416075650139</c:v>
                </c:pt>
                <c:pt idx="99">
                  <c:v>-1457.2948970739019</c:v>
                </c:pt>
                <c:pt idx="100">
                  <c:v>-845.58154633090703</c:v>
                </c:pt>
                <c:pt idx="101">
                  <c:v>-831.51358802678249</c:v>
                </c:pt>
                <c:pt idx="102">
                  <c:v>-563.98816568047357</c:v>
                </c:pt>
                <c:pt idx="103">
                  <c:v>-583.87534626038769</c:v>
                </c:pt>
                <c:pt idx="104">
                  <c:v>-520.69903486310841</c:v>
                </c:pt>
                <c:pt idx="105">
                  <c:v>-658.02382843526584</c:v>
                </c:pt>
                <c:pt idx="106">
                  <c:v>-743.24446234393861</c:v>
                </c:pt>
                <c:pt idx="107">
                  <c:v>-696.71852899575686</c:v>
                </c:pt>
                <c:pt idx="108">
                  <c:v>-1196.3083485679467</c:v>
                </c:pt>
                <c:pt idx="109">
                  <c:v>-1243.6258904946067</c:v>
                </c:pt>
                <c:pt idx="110">
                  <c:v>-1324.3652085452693</c:v>
                </c:pt>
                <c:pt idx="111">
                  <c:v>-1235.1447634452084</c:v>
                </c:pt>
                <c:pt idx="112">
                  <c:v>-1399.0458383594689</c:v>
                </c:pt>
                <c:pt idx="113">
                  <c:v>-1157.2692307692309</c:v>
                </c:pt>
                <c:pt idx="114">
                  <c:v>-1080.3832335329344</c:v>
                </c:pt>
                <c:pt idx="115">
                  <c:v>-895.55818579669767</c:v>
                </c:pt>
                <c:pt idx="116">
                  <c:v>-738.81201665675212</c:v>
                </c:pt>
                <c:pt idx="117">
                  <c:v>-1062.3403203480323</c:v>
                </c:pt>
                <c:pt idx="118">
                  <c:v>-1200.4421177400238</c:v>
                </c:pt>
                <c:pt idx="119">
                  <c:v>-1215.5815463309073</c:v>
                </c:pt>
                <c:pt idx="120">
                  <c:v>-782.2632612966604</c:v>
                </c:pt>
                <c:pt idx="121">
                  <c:v>-742.0736593989393</c:v>
                </c:pt>
                <c:pt idx="122">
                  <c:v>-920.26326129666006</c:v>
                </c:pt>
                <c:pt idx="123">
                  <c:v>-884.8301552978179</c:v>
                </c:pt>
                <c:pt idx="124">
                  <c:v>-1083.394177812746</c:v>
                </c:pt>
                <c:pt idx="125">
                  <c:v>-925.26326129666006</c:v>
                </c:pt>
                <c:pt idx="126">
                  <c:v>-666.34108131453922</c:v>
                </c:pt>
                <c:pt idx="127">
                  <c:v>-261.18084227910805</c:v>
                </c:pt>
                <c:pt idx="128">
                  <c:v>-234.26326129666012</c:v>
                </c:pt>
                <c:pt idx="129">
                  <c:v>-394.51358802678209</c:v>
                </c:pt>
                <c:pt idx="130">
                  <c:v>-961.98816568047323</c:v>
                </c:pt>
                <c:pt idx="131">
                  <c:v>-728.14173228346465</c:v>
                </c:pt>
                <c:pt idx="132">
                  <c:v>-356.63730984787838</c:v>
                </c:pt>
                <c:pt idx="133">
                  <c:v>-257.05153398836984</c:v>
                </c:pt>
                <c:pt idx="134">
                  <c:v>89.578862444534224</c:v>
                </c:pt>
                <c:pt idx="135">
                  <c:v>131.43332660883587</c:v>
                </c:pt>
                <c:pt idx="136">
                  <c:v>325.73390036451985</c:v>
                </c:pt>
                <c:pt idx="137">
                  <c:v>253.45705024311209</c:v>
                </c:pt>
                <c:pt idx="138">
                  <c:v>596.36363636363615</c:v>
                </c:pt>
                <c:pt idx="139">
                  <c:v>767.02846685644556</c:v>
                </c:pt>
                <c:pt idx="140">
                  <c:v>816.47852760736168</c:v>
                </c:pt>
                <c:pt idx="141">
                  <c:v>904.27868852458994</c:v>
                </c:pt>
                <c:pt idx="142">
                  <c:v>902.27868852459039</c:v>
                </c:pt>
                <c:pt idx="143">
                  <c:v>796.42532005689895</c:v>
                </c:pt>
                <c:pt idx="144">
                  <c:v>994.85699735180276</c:v>
                </c:pt>
                <c:pt idx="145">
                  <c:v>1102.0919305413686</c:v>
                </c:pt>
                <c:pt idx="146">
                  <c:v>1324.3448275862067</c:v>
                </c:pt>
                <c:pt idx="147">
                  <c:v>1166.5768516608211</c:v>
                </c:pt>
                <c:pt idx="148">
                  <c:v>1123.4342105263158</c:v>
                </c:pt>
                <c:pt idx="149">
                  <c:v>1333.7898535780575</c:v>
                </c:pt>
                <c:pt idx="150">
                  <c:v>1614.4376930998972</c:v>
                </c:pt>
                <c:pt idx="151">
                  <c:v>1613.8969072164948</c:v>
                </c:pt>
                <c:pt idx="152">
                  <c:v>1640.6831683168318</c:v>
                </c:pt>
                <c:pt idx="153">
                  <c:v>1537.1225296442688</c:v>
                </c:pt>
                <c:pt idx="154">
                  <c:v>1613.8866064092031</c:v>
                </c:pt>
                <c:pt idx="155">
                  <c:v>1675.5042735042734</c:v>
                </c:pt>
                <c:pt idx="156">
                  <c:v>1520.0284668564457</c:v>
                </c:pt>
                <c:pt idx="157">
                  <c:v>1544.9857433808552</c:v>
                </c:pt>
                <c:pt idx="158">
                  <c:v>1692.1147943523633</c:v>
                </c:pt>
                <c:pt idx="159">
                  <c:v>1654.8088597210829</c:v>
                </c:pt>
                <c:pt idx="160">
                  <c:v>1563.9257740414189</c:v>
                </c:pt>
                <c:pt idx="161">
                  <c:v>1535.2102015631431</c:v>
                </c:pt>
                <c:pt idx="162">
                  <c:v>1520.2601156069361</c:v>
                </c:pt>
                <c:pt idx="163">
                  <c:v>1637.0897755610974</c:v>
                </c:pt>
                <c:pt idx="164">
                  <c:v>1555.0897755610974</c:v>
                </c:pt>
                <c:pt idx="165">
                  <c:v>1649.9116482600539</c:v>
                </c:pt>
                <c:pt idx="166">
                  <c:v>1671.5157232704403</c:v>
                </c:pt>
                <c:pt idx="167">
                  <c:v>1548.9149115417019</c:v>
                </c:pt>
                <c:pt idx="168">
                  <c:v>1565.0526315789475</c:v>
                </c:pt>
                <c:pt idx="169">
                  <c:v>1598.6822619500444</c:v>
                </c:pt>
                <c:pt idx="170">
                  <c:v>1584.3095530088385</c:v>
                </c:pt>
                <c:pt idx="171">
                  <c:v>1591.932178322417</c:v>
                </c:pt>
                <c:pt idx="172">
                  <c:v>1628.5111767186843</c:v>
                </c:pt>
                <c:pt idx="173">
                  <c:v>1615.0044550044547</c:v>
                </c:pt>
                <c:pt idx="174">
                  <c:v>1446.2349564108015</c:v>
                </c:pt>
                <c:pt idx="175">
                  <c:v>1456.3368756641871</c:v>
                </c:pt>
                <c:pt idx="176">
                  <c:v>1493.987228607918</c:v>
                </c:pt>
                <c:pt idx="177">
                  <c:v>1733.9388971684052</c:v>
                </c:pt>
                <c:pt idx="178">
                  <c:v>1895.7963357477629</c:v>
                </c:pt>
                <c:pt idx="179">
                  <c:v>1855.6119402985073</c:v>
                </c:pt>
                <c:pt idx="180">
                  <c:v>1943.7496271041975</c:v>
                </c:pt>
                <c:pt idx="181">
                  <c:v>2036.5668586052461</c:v>
                </c:pt>
                <c:pt idx="182">
                  <c:v>2043.5668586052461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B5-4356-9520-D2260B64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228144"/>
        <c:axId val="957457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HISTORICAL!$B$1</c15:sqref>
                        </c15:formulaRef>
                      </c:ext>
                    </c:extLst>
                    <c:strCache>
                      <c:ptCount val="1"/>
                      <c:pt idx="0">
                        <c:v>Diff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HISTORICAL!$A$2:$A$184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HISTORICAL!$B$2:$B$184</c15:sqref>
                        </c15:formulaRef>
                      </c:ext>
                    </c:extLst>
                    <c:numCache>
                      <c:formatCode>General</c:formatCode>
                      <c:ptCount val="183"/>
                      <c:pt idx="0">
                        <c:v>-150</c:v>
                      </c:pt>
                      <c:pt idx="1">
                        <c:v>200</c:v>
                      </c:pt>
                      <c:pt idx="2">
                        <c:v>220</c:v>
                      </c:pt>
                      <c:pt idx="3">
                        <c:v>240</c:v>
                      </c:pt>
                      <c:pt idx="4">
                        <c:v>240</c:v>
                      </c:pt>
                      <c:pt idx="5">
                        <c:v>220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220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180</c:v>
                      </c:pt>
                      <c:pt idx="12">
                        <c:v>180</c:v>
                      </c:pt>
                      <c:pt idx="13">
                        <c:v>180</c:v>
                      </c:pt>
                      <c:pt idx="14">
                        <c:v>200</c:v>
                      </c:pt>
                      <c:pt idx="15">
                        <c:v>190</c:v>
                      </c:pt>
                      <c:pt idx="16">
                        <c:v>200</c:v>
                      </c:pt>
                      <c:pt idx="17">
                        <c:v>240</c:v>
                      </c:pt>
                      <c:pt idx="18">
                        <c:v>240</c:v>
                      </c:pt>
                      <c:pt idx="19">
                        <c:v>260</c:v>
                      </c:pt>
                      <c:pt idx="20">
                        <c:v>280</c:v>
                      </c:pt>
                      <c:pt idx="21">
                        <c:v>280</c:v>
                      </c:pt>
                      <c:pt idx="22">
                        <c:v>280</c:v>
                      </c:pt>
                      <c:pt idx="23">
                        <c:v>250</c:v>
                      </c:pt>
                      <c:pt idx="24">
                        <c:v>280</c:v>
                      </c:pt>
                      <c:pt idx="25">
                        <c:v>280</c:v>
                      </c:pt>
                      <c:pt idx="26">
                        <c:v>250</c:v>
                      </c:pt>
                      <c:pt idx="27">
                        <c:v>220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180</c:v>
                      </c:pt>
                      <c:pt idx="31">
                        <c:v>200</c:v>
                      </c:pt>
                      <c:pt idx="32">
                        <c:v>200</c:v>
                      </c:pt>
                      <c:pt idx="33">
                        <c:v>200</c:v>
                      </c:pt>
                      <c:pt idx="34">
                        <c:v>160</c:v>
                      </c:pt>
                      <c:pt idx="35">
                        <c:v>160</c:v>
                      </c:pt>
                      <c:pt idx="36">
                        <c:v>140</c:v>
                      </c:pt>
                      <c:pt idx="37">
                        <c:v>120</c:v>
                      </c:pt>
                      <c:pt idx="38">
                        <c:v>80</c:v>
                      </c:pt>
                      <c:pt idx="39">
                        <c:v>80</c:v>
                      </c:pt>
                      <c:pt idx="40">
                        <c:v>60</c:v>
                      </c:pt>
                      <c:pt idx="41">
                        <c:v>80</c:v>
                      </c:pt>
                      <c:pt idx="42">
                        <c:v>60</c:v>
                      </c:pt>
                      <c:pt idx="43">
                        <c:v>40</c:v>
                      </c:pt>
                      <c:pt idx="44">
                        <c:v>60</c:v>
                      </c:pt>
                      <c:pt idx="45">
                        <c:v>60</c:v>
                      </c:pt>
                      <c:pt idx="46">
                        <c:v>80</c:v>
                      </c:pt>
                      <c:pt idx="47">
                        <c:v>150</c:v>
                      </c:pt>
                      <c:pt idx="48">
                        <c:v>150</c:v>
                      </c:pt>
                      <c:pt idx="49">
                        <c:v>150</c:v>
                      </c:pt>
                      <c:pt idx="50">
                        <c:v>150</c:v>
                      </c:pt>
                      <c:pt idx="51">
                        <c:v>150</c:v>
                      </c:pt>
                      <c:pt idx="52">
                        <c:v>150</c:v>
                      </c:pt>
                      <c:pt idx="53">
                        <c:v>150</c:v>
                      </c:pt>
                      <c:pt idx="54">
                        <c:v>170</c:v>
                      </c:pt>
                      <c:pt idx="55">
                        <c:v>220</c:v>
                      </c:pt>
                      <c:pt idx="56">
                        <c:v>200</c:v>
                      </c:pt>
                      <c:pt idx="57">
                        <c:v>320</c:v>
                      </c:pt>
                      <c:pt idx="58">
                        <c:v>450</c:v>
                      </c:pt>
                      <c:pt idx="59">
                        <c:v>500</c:v>
                      </c:pt>
                      <c:pt idx="60">
                        <c:v>600</c:v>
                      </c:pt>
                      <c:pt idx="61">
                        <c:v>550</c:v>
                      </c:pt>
                      <c:pt idx="62">
                        <c:v>550</c:v>
                      </c:pt>
                      <c:pt idx="63">
                        <c:v>550</c:v>
                      </c:pt>
                      <c:pt idx="64">
                        <c:v>370</c:v>
                      </c:pt>
                      <c:pt idx="65">
                        <c:v>350</c:v>
                      </c:pt>
                      <c:pt idx="66">
                        <c:v>300</c:v>
                      </c:pt>
                      <c:pt idx="67">
                        <c:v>250</c:v>
                      </c:pt>
                      <c:pt idx="68">
                        <c:v>200</c:v>
                      </c:pt>
                      <c:pt idx="69">
                        <c:v>200</c:v>
                      </c:pt>
                      <c:pt idx="70">
                        <c:v>130</c:v>
                      </c:pt>
                      <c:pt idx="71">
                        <c:v>130</c:v>
                      </c:pt>
                      <c:pt idx="72">
                        <c:v>130</c:v>
                      </c:pt>
                      <c:pt idx="73">
                        <c:v>100</c:v>
                      </c:pt>
                      <c:pt idx="74">
                        <c:v>50</c:v>
                      </c:pt>
                      <c:pt idx="75">
                        <c:v>110</c:v>
                      </c:pt>
                      <c:pt idx="76">
                        <c:v>130</c:v>
                      </c:pt>
                      <c:pt idx="77">
                        <c:v>180</c:v>
                      </c:pt>
                      <c:pt idx="78">
                        <c:v>200</c:v>
                      </c:pt>
                      <c:pt idx="79">
                        <c:v>160</c:v>
                      </c:pt>
                      <c:pt idx="80">
                        <c:v>140</c:v>
                      </c:pt>
                      <c:pt idx="81">
                        <c:v>120</c:v>
                      </c:pt>
                      <c:pt idx="82">
                        <c:v>120</c:v>
                      </c:pt>
                      <c:pt idx="83">
                        <c:v>50</c:v>
                      </c:pt>
                      <c:pt idx="84">
                        <c:v>-10</c:v>
                      </c:pt>
                      <c:pt idx="85">
                        <c:v>-20</c:v>
                      </c:pt>
                      <c:pt idx="86">
                        <c:v>-20</c:v>
                      </c:pt>
                      <c:pt idx="87">
                        <c:v>-80</c:v>
                      </c:pt>
                      <c:pt idx="88">
                        <c:v>40</c:v>
                      </c:pt>
                      <c:pt idx="89">
                        <c:v>40</c:v>
                      </c:pt>
                      <c:pt idx="90">
                        <c:v>40</c:v>
                      </c:pt>
                      <c:pt idx="91">
                        <c:v>40</c:v>
                      </c:pt>
                      <c:pt idx="92">
                        <c:v>40</c:v>
                      </c:pt>
                      <c:pt idx="93">
                        <c:v>50</c:v>
                      </c:pt>
                      <c:pt idx="94">
                        <c:v>80</c:v>
                      </c:pt>
                      <c:pt idx="95">
                        <c:v>100</c:v>
                      </c:pt>
                      <c:pt idx="96">
                        <c:v>100</c:v>
                      </c:pt>
                      <c:pt idx="97">
                        <c:v>100</c:v>
                      </c:pt>
                      <c:pt idx="98">
                        <c:v>80</c:v>
                      </c:pt>
                      <c:pt idx="99">
                        <c:v>100</c:v>
                      </c:pt>
                      <c:pt idx="100">
                        <c:v>220</c:v>
                      </c:pt>
                      <c:pt idx="101">
                        <c:v>220</c:v>
                      </c:pt>
                      <c:pt idx="102">
                        <c:v>250</c:v>
                      </c:pt>
                      <c:pt idx="103">
                        <c:v>400</c:v>
                      </c:pt>
                      <c:pt idx="104">
                        <c:v>350</c:v>
                      </c:pt>
                      <c:pt idx="105">
                        <c:v>260</c:v>
                      </c:pt>
                      <c:pt idx="106">
                        <c:v>260</c:v>
                      </c:pt>
                      <c:pt idx="107">
                        <c:v>250</c:v>
                      </c:pt>
                      <c:pt idx="108">
                        <c:v>250</c:v>
                      </c:pt>
                      <c:pt idx="109">
                        <c:v>300</c:v>
                      </c:pt>
                      <c:pt idx="110">
                        <c:v>550</c:v>
                      </c:pt>
                      <c:pt idx="111">
                        <c:v>600</c:v>
                      </c:pt>
                      <c:pt idx="112">
                        <c:v>750</c:v>
                      </c:pt>
                      <c:pt idx="113">
                        <c:v>820</c:v>
                      </c:pt>
                      <c:pt idx="114">
                        <c:v>850</c:v>
                      </c:pt>
                      <c:pt idx="115">
                        <c:v>850</c:v>
                      </c:pt>
                      <c:pt idx="116">
                        <c:v>850</c:v>
                      </c:pt>
                      <c:pt idx="117">
                        <c:v>850</c:v>
                      </c:pt>
                      <c:pt idx="118">
                        <c:v>900</c:v>
                      </c:pt>
                      <c:pt idx="119">
                        <c:v>900</c:v>
                      </c:pt>
                      <c:pt idx="120">
                        <c:v>880</c:v>
                      </c:pt>
                      <c:pt idx="121">
                        <c:v>850</c:v>
                      </c:pt>
                      <c:pt idx="122">
                        <c:v>900</c:v>
                      </c:pt>
                      <c:pt idx="123">
                        <c:v>950</c:v>
                      </c:pt>
                      <c:pt idx="124">
                        <c:v>950</c:v>
                      </c:pt>
                      <c:pt idx="125">
                        <c:v>950</c:v>
                      </c:pt>
                      <c:pt idx="126">
                        <c:v>1000</c:v>
                      </c:pt>
                      <c:pt idx="127">
                        <c:v>1000</c:v>
                      </c:pt>
                      <c:pt idx="128">
                        <c:v>950</c:v>
                      </c:pt>
                      <c:pt idx="129">
                        <c:v>880</c:v>
                      </c:pt>
                      <c:pt idx="130">
                        <c:v>830</c:v>
                      </c:pt>
                      <c:pt idx="131">
                        <c:v>830</c:v>
                      </c:pt>
                      <c:pt idx="132">
                        <c:v>800</c:v>
                      </c:pt>
                      <c:pt idx="133">
                        <c:v>800</c:v>
                      </c:pt>
                      <c:pt idx="134">
                        <c:v>780</c:v>
                      </c:pt>
                      <c:pt idx="135">
                        <c:v>750</c:v>
                      </c:pt>
                      <c:pt idx="136">
                        <c:v>680</c:v>
                      </c:pt>
                      <c:pt idx="137">
                        <c:v>650</c:v>
                      </c:pt>
                      <c:pt idx="138">
                        <c:v>600</c:v>
                      </c:pt>
                      <c:pt idx="139">
                        <c:v>420</c:v>
                      </c:pt>
                      <c:pt idx="140">
                        <c:v>400</c:v>
                      </c:pt>
                      <c:pt idx="141">
                        <c:v>320</c:v>
                      </c:pt>
                      <c:pt idx="142">
                        <c:v>280</c:v>
                      </c:pt>
                      <c:pt idx="143">
                        <c:v>250</c:v>
                      </c:pt>
                      <c:pt idx="144">
                        <c:v>250</c:v>
                      </c:pt>
                      <c:pt idx="145">
                        <c:v>280</c:v>
                      </c:pt>
                      <c:pt idx="146">
                        <c:v>230</c:v>
                      </c:pt>
                      <c:pt idx="147">
                        <c:v>260</c:v>
                      </c:pt>
                      <c:pt idx="148">
                        <c:v>260</c:v>
                      </c:pt>
                      <c:pt idx="149">
                        <c:v>230</c:v>
                      </c:pt>
                      <c:pt idx="150">
                        <c:v>200</c:v>
                      </c:pt>
                      <c:pt idx="151">
                        <c:v>200</c:v>
                      </c:pt>
                      <c:pt idx="152">
                        <c:v>230</c:v>
                      </c:pt>
                      <c:pt idx="153">
                        <c:v>250</c:v>
                      </c:pt>
                      <c:pt idx="154">
                        <c:v>300</c:v>
                      </c:pt>
                      <c:pt idx="155">
                        <c:v>300</c:v>
                      </c:pt>
                      <c:pt idx="156">
                        <c:v>360</c:v>
                      </c:pt>
                      <c:pt idx="157">
                        <c:v>360</c:v>
                      </c:pt>
                      <c:pt idx="158">
                        <c:v>380</c:v>
                      </c:pt>
                      <c:pt idx="159">
                        <c:v>380</c:v>
                      </c:pt>
                      <c:pt idx="160">
                        <c:v>400</c:v>
                      </c:pt>
                      <c:pt idx="161">
                        <c:v>350</c:v>
                      </c:pt>
                      <c:pt idx="162">
                        <c:v>350</c:v>
                      </c:pt>
                      <c:pt idx="163">
                        <c:v>350</c:v>
                      </c:pt>
                      <c:pt idx="164">
                        <c:v>350</c:v>
                      </c:pt>
                      <c:pt idx="165">
                        <c:v>350</c:v>
                      </c:pt>
                      <c:pt idx="166">
                        <c:v>370</c:v>
                      </c:pt>
                      <c:pt idx="167">
                        <c:v>370</c:v>
                      </c:pt>
                      <c:pt idx="168">
                        <c:v>370</c:v>
                      </c:pt>
                      <c:pt idx="169">
                        <c:v>370</c:v>
                      </c:pt>
                      <c:pt idx="170">
                        <c:v>350</c:v>
                      </c:pt>
                      <c:pt idx="171">
                        <c:v>350</c:v>
                      </c:pt>
                      <c:pt idx="172">
                        <c:v>320</c:v>
                      </c:pt>
                      <c:pt idx="173">
                        <c:v>300</c:v>
                      </c:pt>
                      <c:pt idx="174">
                        <c:v>300</c:v>
                      </c:pt>
                      <c:pt idx="175">
                        <c:v>280</c:v>
                      </c:pt>
                      <c:pt idx="176">
                        <c:v>280</c:v>
                      </c:pt>
                      <c:pt idx="177">
                        <c:v>200</c:v>
                      </c:pt>
                      <c:pt idx="178">
                        <c:v>100</c:v>
                      </c:pt>
                      <c:pt idx="179">
                        <c:v>70</c:v>
                      </c:pt>
                      <c:pt idx="180">
                        <c:v>80</c:v>
                      </c:pt>
                      <c:pt idx="181">
                        <c:v>60</c:v>
                      </c:pt>
                      <c:pt idx="182">
                        <c:v>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FB5-4356-9520-D2260B64295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HISTORICAL!$C$1</c15:sqref>
                        </c15:formulaRef>
                      </c:ext>
                    </c:extLst>
                    <c:strCache>
                      <c:ptCount val="1"/>
                      <c:pt idx="0">
                        <c:v>LRC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HISTORICAL!$A$2:$A$184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HISTORICAL!$C$2:$C$184</c15:sqref>
                        </c15:formulaRef>
                      </c:ext>
                    </c:extLst>
                    <c:numCache>
                      <c:formatCode>General</c:formatCode>
                      <c:ptCount val="183"/>
                      <c:pt idx="0">
                        <c:v>3301</c:v>
                      </c:pt>
                      <c:pt idx="1">
                        <c:v>3364</c:v>
                      </c:pt>
                      <c:pt idx="2">
                        <c:v>3398</c:v>
                      </c:pt>
                      <c:pt idx="3">
                        <c:v>3403</c:v>
                      </c:pt>
                      <c:pt idx="4">
                        <c:v>3290</c:v>
                      </c:pt>
                      <c:pt idx="5">
                        <c:v>3391</c:v>
                      </c:pt>
                      <c:pt idx="6">
                        <c:v>3554</c:v>
                      </c:pt>
                      <c:pt idx="7">
                        <c:v>3374</c:v>
                      </c:pt>
                      <c:pt idx="8">
                        <c:v>3555</c:v>
                      </c:pt>
                      <c:pt idx="9">
                        <c:v>3726</c:v>
                      </c:pt>
                      <c:pt idx="10">
                        <c:v>3644</c:v>
                      </c:pt>
                      <c:pt idx="11">
                        <c:v>3787</c:v>
                      </c:pt>
                      <c:pt idx="12">
                        <c:v>3761</c:v>
                      </c:pt>
                      <c:pt idx="13">
                        <c:v>3708</c:v>
                      </c:pt>
                      <c:pt idx="14">
                        <c:v>3797</c:v>
                      </c:pt>
                      <c:pt idx="15">
                        <c:v>4043</c:v>
                      </c:pt>
                      <c:pt idx="16">
                        <c:v>3783</c:v>
                      </c:pt>
                      <c:pt idx="17">
                        <c:v>3662</c:v>
                      </c:pt>
                      <c:pt idx="18">
                        <c:v>3629</c:v>
                      </c:pt>
                      <c:pt idx="19">
                        <c:v>3395</c:v>
                      </c:pt>
                      <c:pt idx="20">
                        <c:v>3270</c:v>
                      </c:pt>
                      <c:pt idx="21">
                        <c:v>3415</c:v>
                      </c:pt>
                      <c:pt idx="22">
                        <c:v>3399</c:v>
                      </c:pt>
                      <c:pt idx="23">
                        <c:v>3560</c:v>
                      </c:pt>
                      <c:pt idx="24">
                        <c:v>3413</c:v>
                      </c:pt>
                      <c:pt idx="25">
                        <c:v>3361</c:v>
                      </c:pt>
                      <c:pt idx="26">
                        <c:v>3507</c:v>
                      </c:pt>
                      <c:pt idx="27">
                        <c:v>3394</c:v>
                      </c:pt>
                      <c:pt idx="28">
                        <c:v>3239</c:v>
                      </c:pt>
                      <c:pt idx="29">
                        <c:v>3346</c:v>
                      </c:pt>
                      <c:pt idx="30">
                        <c:v>3522</c:v>
                      </c:pt>
                      <c:pt idx="31">
                        <c:v>3669</c:v>
                      </c:pt>
                      <c:pt idx="32">
                        <c:v>3553</c:v>
                      </c:pt>
                      <c:pt idx="33">
                        <c:v>3751</c:v>
                      </c:pt>
                      <c:pt idx="34">
                        <c:v>3639</c:v>
                      </c:pt>
                      <c:pt idx="35">
                        <c:v>3620</c:v>
                      </c:pt>
                      <c:pt idx="36">
                        <c:v>3765</c:v>
                      </c:pt>
                      <c:pt idx="37">
                        <c:v>3749</c:v>
                      </c:pt>
                      <c:pt idx="38">
                        <c:v>4096</c:v>
                      </c:pt>
                      <c:pt idx="39">
                        <c:v>4026</c:v>
                      </c:pt>
                      <c:pt idx="40">
                        <c:v>4003</c:v>
                      </c:pt>
                      <c:pt idx="41">
                        <c:v>3928</c:v>
                      </c:pt>
                      <c:pt idx="42">
                        <c:v>3949</c:v>
                      </c:pt>
                      <c:pt idx="43">
                        <c:v>3858</c:v>
                      </c:pt>
                      <c:pt idx="44">
                        <c:v>3677</c:v>
                      </c:pt>
                      <c:pt idx="45">
                        <c:v>4107</c:v>
                      </c:pt>
                      <c:pt idx="46">
                        <c:v>4232</c:v>
                      </c:pt>
                      <c:pt idx="47">
                        <c:v>4389</c:v>
                      </c:pt>
                      <c:pt idx="48">
                        <c:v>4631</c:v>
                      </c:pt>
                      <c:pt idx="49">
                        <c:v>4343</c:v>
                      </c:pt>
                      <c:pt idx="50">
                        <c:v>4530</c:v>
                      </c:pt>
                      <c:pt idx="51">
                        <c:v>4641</c:v>
                      </c:pt>
                      <c:pt idx="52">
                        <c:v>4521</c:v>
                      </c:pt>
                      <c:pt idx="53">
                        <c:v>4524</c:v>
                      </c:pt>
                      <c:pt idx="54">
                        <c:v>4472</c:v>
                      </c:pt>
                      <c:pt idx="55">
                        <c:v>4325</c:v>
                      </c:pt>
                      <c:pt idx="56">
                        <c:v>4082</c:v>
                      </c:pt>
                      <c:pt idx="57">
                        <c:v>4447</c:v>
                      </c:pt>
                      <c:pt idx="58">
                        <c:v>4521</c:v>
                      </c:pt>
                      <c:pt idx="59">
                        <c:v>4414</c:v>
                      </c:pt>
                      <c:pt idx="60">
                        <c:v>4808</c:v>
                      </c:pt>
                      <c:pt idx="61">
                        <c:v>4520</c:v>
                      </c:pt>
                      <c:pt idx="62">
                        <c:v>3952</c:v>
                      </c:pt>
                      <c:pt idx="63">
                        <c:v>3377</c:v>
                      </c:pt>
                      <c:pt idx="64">
                        <c:v>3331</c:v>
                      </c:pt>
                      <c:pt idx="65">
                        <c:v>3349</c:v>
                      </c:pt>
                      <c:pt idx="66">
                        <c:v>3312</c:v>
                      </c:pt>
                      <c:pt idx="67">
                        <c:v>3320</c:v>
                      </c:pt>
                      <c:pt idx="68">
                        <c:v>3627</c:v>
                      </c:pt>
                      <c:pt idx="69">
                        <c:v>3665</c:v>
                      </c:pt>
                      <c:pt idx="70">
                        <c:v>3887</c:v>
                      </c:pt>
                      <c:pt idx="71">
                        <c:v>4314</c:v>
                      </c:pt>
                      <c:pt idx="72">
                        <c:v>4445</c:v>
                      </c:pt>
                      <c:pt idx="73">
                        <c:v>4566</c:v>
                      </c:pt>
                      <c:pt idx="74">
                        <c:v>4903</c:v>
                      </c:pt>
                      <c:pt idx="75">
                        <c:v>4971</c:v>
                      </c:pt>
                      <c:pt idx="76">
                        <c:v>5256</c:v>
                      </c:pt>
                      <c:pt idx="77">
                        <c:v>5369</c:v>
                      </c:pt>
                      <c:pt idx="78">
                        <c:v>5427</c:v>
                      </c:pt>
                      <c:pt idx="79">
                        <c:v>5277</c:v>
                      </c:pt>
                      <c:pt idx="80">
                        <c:v>4896</c:v>
                      </c:pt>
                      <c:pt idx="81">
                        <c:v>5388</c:v>
                      </c:pt>
                      <c:pt idx="82">
                        <c:v>5361</c:v>
                      </c:pt>
                      <c:pt idx="83">
                        <c:v>5497</c:v>
                      </c:pt>
                      <c:pt idx="84">
                        <c:v>5528</c:v>
                      </c:pt>
                      <c:pt idx="85">
                        <c:v>5427</c:v>
                      </c:pt>
                      <c:pt idx="86">
                        <c:v>5376</c:v>
                      </c:pt>
                      <c:pt idx="87">
                        <c:v>5655</c:v>
                      </c:pt>
                      <c:pt idx="88">
                        <c:v>5788</c:v>
                      </c:pt>
                      <c:pt idx="89">
                        <c:v>5646</c:v>
                      </c:pt>
                      <c:pt idx="90">
                        <c:v>5709</c:v>
                      </c:pt>
                      <c:pt idx="91">
                        <c:v>5482</c:v>
                      </c:pt>
                      <c:pt idx="92">
                        <c:v>4889</c:v>
                      </c:pt>
                      <c:pt idx="93">
                        <c:v>4979</c:v>
                      </c:pt>
                      <c:pt idx="94">
                        <c:v>5056</c:v>
                      </c:pt>
                      <c:pt idx="95">
                        <c:v>5046</c:v>
                      </c:pt>
                      <c:pt idx="96">
                        <c:v>5046</c:v>
                      </c:pt>
                      <c:pt idx="97">
                        <c:v>5152</c:v>
                      </c:pt>
                      <c:pt idx="98">
                        <c:v>4873</c:v>
                      </c:pt>
                      <c:pt idx="99">
                        <c:v>5528</c:v>
                      </c:pt>
                      <c:pt idx="100">
                        <c:v>4787</c:v>
                      </c:pt>
                      <c:pt idx="101">
                        <c:v>4777</c:v>
                      </c:pt>
                      <c:pt idx="102">
                        <c:v>4486</c:v>
                      </c:pt>
                      <c:pt idx="103">
                        <c:v>4369</c:v>
                      </c:pt>
                      <c:pt idx="104">
                        <c:v>4337</c:v>
                      </c:pt>
                      <c:pt idx="105">
                        <c:v>4598</c:v>
                      </c:pt>
                      <c:pt idx="106">
                        <c:v>4742</c:v>
                      </c:pt>
                      <c:pt idx="107">
                        <c:v>4720</c:v>
                      </c:pt>
                      <c:pt idx="108">
                        <c:v>5242</c:v>
                      </c:pt>
                      <c:pt idx="109">
                        <c:v>5248</c:v>
                      </c:pt>
                      <c:pt idx="110">
                        <c:v>5077</c:v>
                      </c:pt>
                      <c:pt idx="111">
                        <c:v>4911</c:v>
                      </c:pt>
                      <c:pt idx="112">
                        <c:v>4901</c:v>
                      </c:pt>
                      <c:pt idx="113">
                        <c:v>4574</c:v>
                      </c:pt>
                      <c:pt idx="114">
                        <c:v>4452</c:v>
                      </c:pt>
                      <c:pt idx="115">
                        <c:v>4253</c:v>
                      </c:pt>
                      <c:pt idx="116">
                        <c:v>4083</c:v>
                      </c:pt>
                      <c:pt idx="117">
                        <c:v>4395</c:v>
                      </c:pt>
                      <c:pt idx="118">
                        <c:v>4479</c:v>
                      </c:pt>
                      <c:pt idx="119">
                        <c:v>4477</c:v>
                      </c:pt>
                      <c:pt idx="120">
                        <c:v>4058</c:v>
                      </c:pt>
                      <c:pt idx="121">
                        <c:v>4047</c:v>
                      </c:pt>
                      <c:pt idx="122">
                        <c:v>4176</c:v>
                      </c:pt>
                      <c:pt idx="123">
                        <c:v>4093</c:v>
                      </c:pt>
                      <c:pt idx="124">
                        <c:v>4294</c:v>
                      </c:pt>
                      <c:pt idx="125">
                        <c:v>4131</c:v>
                      </c:pt>
                      <c:pt idx="126">
                        <c:v>3819</c:v>
                      </c:pt>
                      <c:pt idx="127">
                        <c:v>3420</c:v>
                      </c:pt>
                      <c:pt idx="128">
                        <c:v>3440</c:v>
                      </c:pt>
                      <c:pt idx="129">
                        <c:v>3680</c:v>
                      </c:pt>
                      <c:pt idx="130">
                        <c:v>4304</c:v>
                      </c:pt>
                      <c:pt idx="131">
                        <c:v>4062</c:v>
                      </c:pt>
                      <c:pt idx="132">
                        <c:v>3790</c:v>
                      </c:pt>
                      <c:pt idx="133">
                        <c:v>3698</c:v>
                      </c:pt>
                      <c:pt idx="134">
                        <c:v>3396</c:v>
                      </c:pt>
                      <c:pt idx="135">
                        <c:v>3385</c:v>
                      </c:pt>
                      <c:pt idx="136">
                        <c:v>3277</c:v>
                      </c:pt>
                      <c:pt idx="137">
                        <c:v>3381</c:v>
                      </c:pt>
                      <c:pt idx="138">
                        <c:v>3095</c:v>
                      </c:pt>
                      <c:pt idx="139">
                        <c:v>3113</c:v>
                      </c:pt>
                      <c:pt idx="140">
                        <c:v>3108</c:v>
                      </c:pt>
                      <c:pt idx="141">
                        <c:v>3109</c:v>
                      </c:pt>
                      <c:pt idx="142">
                        <c:v>3151</c:v>
                      </c:pt>
                      <c:pt idx="143">
                        <c:v>3251</c:v>
                      </c:pt>
                      <c:pt idx="144">
                        <c:v>3063</c:v>
                      </c:pt>
                      <c:pt idx="145">
                        <c:v>2938</c:v>
                      </c:pt>
                      <c:pt idx="146">
                        <c:v>2786</c:v>
                      </c:pt>
                      <c:pt idx="147">
                        <c:v>2936</c:v>
                      </c:pt>
                      <c:pt idx="148">
                        <c:v>2964</c:v>
                      </c:pt>
                      <c:pt idx="149">
                        <c:v>2797</c:v>
                      </c:pt>
                      <c:pt idx="150">
                        <c:v>2541</c:v>
                      </c:pt>
                      <c:pt idx="151">
                        <c:v>2546</c:v>
                      </c:pt>
                      <c:pt idx="152">
                        <c:v>2491</c:v>
                      </c:pt>
                      <c:pt idx="153">
                        <c:v>2566</c:v>
                      </c:pt>
                      <c:pt idx="154">
                        <c:v>2430</c:v>
                      </c:pt>
                      <c:pt idx="155">
                        <c:v>2328</c:v>
                      </c:pt>
                      <c:pt idx="156">
                        <c:v>2420</c:v>
                      </c:pt>
                      <c:pt idx="157">
                        <c:v>2402</c:v>
                      </c:pt>
                      <c:pt idx="158">
                        <c:v>2255</c:v>
                      </c:pt>
                      <c:pt idx="159">
                        <c:v>2302</c:v>
                      </c:pt>
                      <c:pt idx="160">
                        <c:v>2372</c:v>
                      </c:pt>
                      <c:pt idx="161">
                        <c:v>2464</c:v>
                      </c:pt>
                      <c:pt idx="162">
                        <c:v>2495</c:v>
                      </c:pt>
                      <c:pt idx="163">
                        <c:v>2407</c:v>
                      </c:pt>
                      <c:pt idx="164">
                        <c:v>2489</c:v>
                      </c:pt>
                      <c:pt idx="165">
                        <c:v>2406</c:v>
                      </c:pt>
                      <c:pt idx="166">
                        <c:v>2391</c:v>
                      </c:pt>
                      <c:pt idx="167">
                        <c:v>2534</c:v>
                      </c:pt>
                      <c:pt idx="168">
                        <c:v>2516</c:v>
                      </c:pt>
                      <c:pt idx="169">
                        <c:v>2499</c:v>
                      </c:pt>
                      <c:pt idx="170">
                        <c:v>2536</c:v>
                      </c:pt>
                      <c:pt idx="171">
                        <c:v>2525</c:v>
                      </c:pt>
                      <c:pt idx="172">
                        <c:v>2510</c:v>
                      </c:pt>
                      <c:pt idx="173">
                        <c:v>2570</c:v>
                      </c:pt>
                      <c:pt idx="174">
                        <c:v>2749</c:v>
                      </c:pt>
                      <c:pt idx="175">
                        <c:v>2757</c:v>
                      </c:pt>
                      <c:pt idx="176">
                        <c:v>2726</c:v>
                      </c:pt>
                      <c:pt idx="177">
                        <c:v>2567</c:v>
                      </c:pt>
                      <c:pt idx="178">
                        <c:v>2508</c:v>
                      </c:pt>
                      <c:pt idx="179">
                        <c:v>2582</c:v>
                      </c:pt>
                      <c:pt idx="180">
                        <c:v>2481</c:v>
                      </c:pt>
                      <c:pt idx="181">
                        <c:v>2412</c:v>
                      </c:pt>
                      <c:pt idx="182">
                        <c:v>2405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B5-4356-9520-D2260B64295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HISTORICAL!$D$1</c15:sqref>
                        </c15:formulaRef>
                      </c:ext>
                    </c:extLst>
                    <c:strCache>
                      <c:ptCount val="1"/>
                      <c:pt idx="0">
                        <c:v>VND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HISTORICAL!$A$2:$A$184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HISTORICAL!$D$2:$D$184</c15:sqref>
                        </c15:formulaRef>
                      </c:ext>
                    </c:extLst>
                    <c:numCache>
                      <c:formatCode>General</c:formatCode>
                      <c:ptCount val="183"/>
                      <c:pt idx="0">
                        <c:v>25848</c:v>
                      </c:pt>
                      <c:pt idx="1">
                        <c:v>25872</c:v>
                      </c:pt>
                      <c:pt idx="2">
                        <c:v>25889</c:v>
                      </c:pt>
                      <c:pt idx="3">
                        <c:v>25979</c:v>
                      </c:pt>
                      <c:pt idx="4">
                        <c:v>25990</c:v>
                      </c:pt>
                      <c:pt idx="5">
                        <c:v>26009</c:v>
                      </c:pt>
                      <c:pt idx="6">
                        <c:v>25921</c:v>
                      </c:pt>
                      <c:pt idx="7">
                        <c:v>26070</c:v>
                      </c:pt>
                      <c:pt idx="8">
                        <c:v>26076</c:v>
                      </c:pt>
                      <c:pt idx="9">
                        <c:v>26099</c:v>
                      </c:pt>
                      <c:pt idx="10">
                        <c:v>26070</c:v>
                      </c:pt>
                      <c:pt idx="11">
                        <c:v>26234</c:v>
                      </c:pt>
                      <c:pt idx="12">
                        <c:v>26279</c:v>
                      </c:pt>
                      <c:pt idx="13">
                        <c:v>26314</c:v>
                      </c:pt>
                      <c:pt idx="14">
                        <c:v>26251</c:v>
                      </c:pt>
                      <c:pt idx="15">
                        <c:v>26290</c:v>
                      </c:pt>
                      <c:pt idx="16">
                        <c:v>26285</c:v>
                      </c:pt>
                      <c:pt idx="17">
                        <c:v>26315</c:v>
                      </c:pt>
                      <c:pt idx="18">
                        <c:v>26270</c:v>
                      </c:pt>
                      <c:pt idx="19">
                        <c:v>26325</c:v>
                      </c:pt>
                      <c:pt idx="20">
                        <c:v>26275</c:v>
                      </c:pt>
                      <c:pt idx="21">
                        <c:v>26326</c:v>
                      </c:pt>
                      <c:pt idx="22">
                        <c:v>26350</c:v>
                      </c:pt>
                      <c:pt idx="23">
                        <c:v>26317</c:v>
                      </c:pt>
                      <c:pt idx="24">
                        <c:v>26320</c:v>
                      </c:pt>
                      <c:pt idx="25">
                        <c:v>26355</c:v>
                      </c:pt>
                      <c:pt idx="26">
                        <c:v>26294</c:v>
                      </c:pt>
                      <c:pt idx="27">
                        <c:v>26302</c:v>
                      </c:pt>
                      <c:pt idx="28">
                        <c:v>26320</c:v>
                      </c:pt>
                      <c:pt idx="29">
                        <c:v>26310</c:v>
                      </c:pt>
                      <c:pt idx="30">
                        <c:v>26348</c:v>
                      </c:pt>
                      <c:pt idx="31">
                        <c:v>26255</c:v>
                      </c:pt>
                      <c:pt idx="32">
                        <c:v>26190</c:v>
                      </c:pt>
                      <c:pt idx="33">
                        <c:v>26210</c:v>
                      </c:pt>
                      <c:pt idx="34">
                        <c:v>26030</c:v>
                      </c:pt>
                      <c:pt idx="35">
                        <c:v>25920</c:v>
                      </c:pt>
                      <c:pt idx="36">
                        <c:v>25910</c:v>
                      </c:pt>
                      <c:pt idx="37">
                        <c:v>25950</c:v>
                      </c:pt>
                      <c:pt idx="38">
                        <c:v>25950</c:v>
                      </c:pt>
                      <c:pt idx="39">
                        <c:v>26267</c:v>
                      </c:pt>
                      <c:pt idx="40">
                        <c:v>26230</c:v>
                      </c:pt>
                      <c:pt idx="41">
                        <c:v>26230</c:v>
                      </c:pt>
                      <c:pt idx="42">
                        <c:v>26295</c:v>
                      </c:pt>
                      <c:pt idx="43">
                        <c:v>26315</c:v>
                      </c:pt>
                      <c:pt idx="44">
                        <c:v>26285</c:v>
                      </c:pt>
                      <c:pt idx="45">
                        <c:v>26300</c:v>
                      </c:pt>
                      <c:pt idx="46">
                        <c:v>26340</c:v>
                      </c:pt>
                      <c:pt idx="47">
                        <c:v>26372</c:v>
                      </c:pt>
                      <c:pt idx="48">
                        <c:v>26366</c:v>
                      </c:pt>
                      <c:pt idx="49">
                        <c:v>26350</c:v>
                      </c:pt>
                      <c:pt idx="50">
                        <c:v>26285</c:v>
                      </c:pt>
                      <c:pt idx="51">
                        <c:v>26315</c:v>
                      </c:pt>
                      <c:pt idx="52">
                        <c:v>26312</c:v>
                      </c:pt>
                      <c:pt idx="53">
                        <c:v>26310</c:v>
                      </c:pt>
                      <c:pt idx="54">
                        <c:v>26346</c:v>
                      </c:pt>
                      <c:pt idx="55">
                        <c:v>26393</c:v>
                      </c:pt>
                      <c:pt idx="56">
                        <c:v>26380</c:v>
                      </c:pt>
                      <c:pt idx="57">
                        <c:v>26355</c:v>
                      </c:pt>
                      <c:pt idx="58">
                        <c:v>26375</c:v>
                      </c:pt>
                      <c:pt idx="59">
                        <c:v>26360</c:v>
                      </c:pt>
                      <c:pt idx="60">
                        <c:v>26360</c:v>
                      </c:pt>
                      <c:pt idx="61">
                        <c:v>26405</c:v>
                      </c:pt>
                      <c:pt idx="62">
                        <c:v>26230</c:v>
                      </c:pt>
                      <c:pt idx="63">
                        <c:v>26190</c:v>
                      </c:pt>
                      <c:pt idx="64">
                        <c:v>26197</c:v>
                      </c:pt>
                      <c:pt idx="65">
                        <c:v>26110</c:v>
                      </c:pt>
                      <c:pt idx="66">
                        <c:v>26135</c:v>
                      </c:pt>
                      <c:pt idx="67">
                        <c:v>26113</c:v>
                      </c:pt>
                      <c:pt idx="68">
                        <c:v>26175</c:v>
                      </c:pt>
                      <c:pt idx="69">
                        <c:v>26100</c:v>
                      </c:pt>
                      <c:pt idx="70">
                        <c:v>26123</c:v>
                      </c:pt>
                      <c:pt idx="71">
                        <c:v>26020</c:v>
                      </c:pt>
                      <c:pt idx="72">
                        <c:v>26056</c:v>
                      </c:pt>
                      <c:pt idx="73">
                        <c:v>25950</c:v>
                      </c:pt>
                      <c:pt idx="74">
                        <c:v>25970</c:v>
                      </c:pt>
                      <c:pt idx="75">
                        <c:v>25920</c:v>
                      </c:pt>
                      <c:pt idx="76">
                        <c:v>25948</c:v>
                      </c:pt>
                      <c:pt idx="77">
                        <c:v>25980</c:v>
                      </c:pt>
                      <c:pt idx="78">
                        <c:v>26026</c:v>
                      </c:pt>
                      <c:pt idx="79">
                        <c:v>25837</c:v>
                      </c:pt>
                      <c:pt idx="80">
                        <c:v>25740</c:v>
                      </c:pt>
                      <c:pt idx="81">
                        <c:v>25790</c:v>
                      </c:pt>
                      <c:pt idx="82">
                        <c:v>25560</c:v>
                      </c:pt>
                      <c:pt idx="83">
                        <c:v>25545</c:v>
                      </c:pt>
                      <c:pt idx="84">
                        <c:v>25490</c:v>
                      </c:pt>
                      <c:pt idx="85">
                        <c:v>25485</c:v>
                      </c:pt>
                      <c:pt idx="86">
                        <c:v>25520</c:v>
                      </c:pt>
                      <c:pt idx="87">
                        <c:v>25500</c:v>
                      </c:pt>
                      <c:pt idx="88">
                        <c:v>25440</c:v>
                      </c:pt>
                      <c:pt idx="89">
                        <c:v>25260</c:v>
                      </c:pt>
                      <c:pt idx="90">
                        <c:v>25060</c:v>
                      </c:pt>
                      <c:pt idx="91">
                        <c:v>25080</c:v>
                      </c:pt>
                      <c:pt idx="92">
                        <c:v>25370</c:v>
                      </c:pt>
                      <c:pt idx="93">
                        <c:v>25375</c:v>
                      </c:pt>
                      <c:pt idx="94">
                        <c:v>25450</c:v>
                      </c:pt>
                      <c:pt idx="95">
                        <c:v>25425</c:v>
                      </c:pt>
                      <c:pt idx="96">
                        <c:v>25450</c:v>
                      </c:pt>
                      <c:pt idx="97">
                        <c:v>25394</c:v>
                      </c:pt>
                      <c:pt idx="98">
                        <c:v>25380</c:v>
                      </c:pt>
                      <c:pt idx="99">
                        <c:v>25358</c:v>
                      </c:pt>
                      <c:pt idx="100">
                        <c:v>25415</c:v>
                      </c:pt>
                      <c:pt idx="101">
                        <c:v>25390</c:v>
                      </c:pt>
                      <c:pt idx="102">
                        <c:v>25350</c:v>
                      </c:pt>
                      <c:pt idx="103">
                        <c:v>25270</c:v>
                      </c:pt>
                      <c:pt idx="104">
                        <c:v>25385</c:v>
                      </c:pt>
                      <c:pt idx="105">
                        <c:v>25180</c:v>
                      </c:pt>
                      <c:pt idx="106">
                        <c:v>24830</c:v>
                      </c:pt>
                      <c:pt idx="107">
                        <c:v>24745</c:v>
                      </c:pt>
                      <c:pt idx="108">
                        <c:v>24615</c:v>
                      </c:pt>
                      <c:pt idx="109">
                        <c:v>24565</c:v>
                      </c:pt>
                      <c:pt idx="110">
                        <c:v>24575</c:v>
                      </c:pt>
                      <c:pt idx="111">
                        <c:v>24730</c:v>
                      </c:pt>
                      <c:pt idx="112">
                        <c:v>24870</c:v>
                      </c:pt>
                      <c:pt idx="113">
                        <c:v>24960</c:v>
                      </c:pt>
                      <c:pt idx="114">
                        <c:v>25050</c:v>
                      </c:pt>
                      <c:pt idx="115">
                        <c:v>25135</c:v>
                      </c:pt>
                      <c:pt idx="116">
                        <c:v>25215</c:v>
                      </c:pt>
                      <c:pt idx="117">
                        <c:v>25285</c:v>
                      </c:pt>
                      <c:pt idx="118">
                        <c:v>25310</c:v>
                      </c:pt>
                      <c:pt idx="119">
                        <c:v>25415</c:v>
                      </c:pt>
                      <c:pt idx="120">
                        <c:v>25450</c:v>
                      </c:pt>
                      <c:pt idx="121">
                        <c:v>25455</c:v>
                      </c:pt>
                      <c:pt idx="122">
                        <c:v>25450</c:v>
                      </c:pt>
                      <c:pt idx="123">
                        <c:v>25435</c:v>
                      </c:pt>
                      <c:pt idx="124">
                        <c:v>25420</c:v>
                      </c:pt>
                      <c:pt idx="125">
                        <c:v>25450</c:v>
                      </c:pt>
                      <c:pt idx="126">
                        <c:v>25469</c:v>
                      </c:pt>
                      <c:pt idx="127">
                        <c:v>25431</c:v>
                      </c:pt>
                      <c:pt idx="128">
                        <c:v>25450</c:v>
                      </c:pt>
                      <c:pt idx="129">
                        <c:v>25390</c:v>
                      </c:pt>
                      <c:pt idx="130">
                        <c:v>25350</c:v>
                      </c:pt>
                      <c:pt idx="131">
                        <c:v>25400</c:v>
                      </c:pt>
                      <c:pt idx="132">
                        <c:v>24980</c:v>
                      </c:pt>
                      <c:pt idx="133">
                        <c:v>24935</c:v>
                      </c:pt>
                      <c:pt idx="134">
                        <c:v>24790</c:v>
                      </c:pt>
                      <c:pt idx="135">
                        <c:v>24785</c:v>
                      </c:pt>
                      <c:pt idx="136">
                        <c:v>24690</c:v>
                      </c:pt>
                      <c:pt idx="137">
                        <c:v>24680</c:v>
                      </c:pt>
                      <c:pt idx="138">
                        <c:v>24640</c:v>
                      </c:pt>
                      <c:pt idx="139">
                        <c:v>24590</c:v>
                      </c:pt>
                      <c:pt idx="140">
                        <c:v>24450</c:v>
                      </c:pt>
                      <c:pt idx="141">
                        <c:v>24400</c:v>
                      </c:pt>
                      <c:pt idx="142">
                        <c:v>24400</c:v>
                      </c:pt>
                      <c:pt idx="143">
                        <c:v>24605</c:v>
                      </c:pt>
                      <c:pt idx="144">
                        <c:v>24545</c:v>
                      </c:pt>
                      <c:pt idx="145">
                        <c:v>24475</c:v>
                      </c:pt>
                      <c:pt idx="146">
                        <c:v>24360</c:v>
                      </c:pt>
                      <c:pt idx="147">
                        <c:v>24235</c:v>
                      </c:pt>
                      <c:pt idx="148">
                        <c:v>24320</c:v>
                      </c:pt>
                      <c:pt idx="149">
                        <c:v>24245</c:v>
                      </c:pt>
                      <c:pt idx="150">
                        <c:v>24275</c:v>
                      </c:pt>
                      <c:pt idx="151">
                        <c:v>24250</c:v>
                      </c:pt>
                      <c:pt idx="152">
                        <c:v>24240</c:v>
                      </c:pt>
                      <c:pt idx="153">
                        <c:v>24288</c:v>
                      </c:pt>
                      <c:pt idx="154">
                        <c:v>24340</c:v>
                      </c:pt>
                      <c:pt idx="155">
                        <c:v>24570</c:v>
                      </c:pt>
                      <c:pt idx="156">
                        <c:v>24590</c:v>
                      </c:pt>
                      <c:pt idx="157">
                        <c:v>24550</c:v>
                      </c:pt>
                      <c:pt idx="158">
                        <c:v>24435</c:v>
                      </c:pt>
                      <c:pt idx="159">
                        <c:v>24380</c:v>
                      </c:pt>
                      <c:pt idx="160">
                        <c:v>24385</c:v>
                      </c:pt>
                      <c:pt idx="161">
                        <c:v>24310</c:v>
                      </c:pt>
                      <c:pt idx="162">
                        <c:v>24220</c:v>
                      </c:pt>
                      <c:pt idx="163">
                        <c:v>24060</c:v>
                      </c:pt>
                      <c:pt idx="164">
                        <c:v>24060</c:v>
                      </c:pt>
                      <c:pt idx="165">
                        <c:v>23995</c:v>
                      </c:pt>
                      <c:pt idx="166">
                        <c:v>23850</c:v>
                      </c:pt>
                      <c:pt idx="167">
                        <c:v>23740</c:v>
                      </c:pt>
                      <c:pt idx="168">
                        <c:v>23750</c:v>
                      </c:pt>
                      <c:pt idx="169">
                        <c:v>23661</c:v>
                      </c:pt>
                      <c:pt idx="170">
                        <c:v>23647</c:v>
                      </c:pt>
                      <c:pt idx="171">
                        <c:v>23665</c:v>
                      </c:pt>
                      <c:pt idx="172">
                        <c:v>23710</c:v>
                      </c:pt>
                      <c:pt idx="173">
                        <c:v>23569</c:v>
                      </c:pt>
                      <c:pt idx="174">
                        <c:v>23515</c:v>
                      </c:pt>
                      <c:pt idx="175">
                        <c:v>23525</c:v>
                      </c:pt>
                      <c:pt idx="176">
                        <c:v>23490</c:v>
                      </c:pt>
                      <c:pt idx="177">
                        <c:v>23485</c:v>
                      </c:pt>
                      <c:pt idx="178">
                        <c:v>23470</c:v>
                      </c:pt>
                      <c:pt idx="179">
                        <c:v>23450</c:v>
                      </c:pt>
                      <c:pt idx="180">
                        <c:v>23465</c:v>
                      </c:pt>
                      <c:pt idx="181">
                        <c:v>23445</c:v>
                      </c:pt>
                      <c:pt idx="182">
                        <c:v>23445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B5-4356-9520-D2260B6429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HISTORICAL!$E$1</c15:sqref>
                        </c15:formulaRef>
                      </c:ext>
                    </c:extLst>
                    <c:strCache>
                      <c:ptCount val="1"/>
                      <c:pt idx="0">
                        <c:v>FOB ($)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HISTORICAL!$A$2:$A$184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HISTORICAL!$E$2:$E$184</c15:sqref>
                        </c15:formulaRef>
                      </c:ext>
                    </c:extLst>
                    <c:numCache>
                      <c:formatCode>General</c:formatCode>
                      <c:ptCount val="183"/>
                      <c:pt idx="0">
                        <c:v>3151</c:v>
                      </c:pt>
                      <c:pt idx="1">
                        <c:v>3564</c:v>
                      </c:pt>
                      <c:pt idx="2">
                        <c:v>3618</c:v>
                      </c:pt>
                      <c:pt idx="3">
                        <c:v>3643</c:v>
                      </c:pt>
                      <c:pt idx="4">
                        <c:v>3530</c:v>
                      </c:pt>
                      <c:pt idx="5">
                        <c:v>3611</c:v>
                      </c:pt>
                      <c:pt idx="6">
                        <c:v>3754</c:v>
                      </c:pt>
                      <c:pt idx="7">
                        <c:v>3574</c:v>
                      </c:pt>
                      <c:pt idx="8">
                        <c:v>3775</c:v>
                      </c:pt>
                      <c:pt idx="9">
                        <c:v>3926</c:v>
                      </c:pt>
                      <c:pt idx="10">
                        <c:v>3844</c:v>
                      </c:pt>
                      <c:pt idx="11">
                        <c:v>3967</c:v>
                      </c:pt>
                      <c:pt idx="12">
                        <c:v>3941</c:v>
                      </c:pt>
                      <c:pt idx="13">
                        <c:v>3888</c:v>
                      </c:pt>
                      <c:pt idx="14">
                        <c:v>3997</c:v>
                      </c:pt>
                      <c:pt idx="15">
                        <c:v>4233</c:v>
                      </c:pt>
                      <c:pt idx="16">
                        <c:v>3983</c:v>
                      </c:pt>
                      <c:pt idx="17">
                        <c:v>3902</c:v>
                      </c:pt>
                      <c:pt idx="18">
                        <c:v>3869</c:v>
                      </c:pt>
                      <c:pt idx="19">
                        <c:v>3655</c:v>
                      </c:pt>
                      <c:pt idx="20">
                        <c:v>3550</c:v>
                      </c:pt>
                      <c:pt idx="21">
                        <c:v>3695</c:v>
                      </c:pt>
                      <c:pt idx="22">
                        <c:v>3679</c:v>
                      </c:pt>
                      <c:pt idx="23">
                        <c:v>3810</c:v>
                      </c:pt>
                      <c:pt idx="24">
                        <c:v>3693</c:v>
                      </c:pt>
                      <c:pt idx="25">
                        <c:v>3641</c:v>
                      </c:pt>
                      <c:pt idx="26">
                        <c:v>3757</c:v>
                      </c:pt>
                      <c:pt idx="27">
                        <c:v>3614</c:v>
                      </c:pt>
                      <c:pt idx="28">
                        <c:v>3419</c:v>
                      </c:pt>
                      <c:pt idx="29">
                        <c:v>3526</c:v>
                      </c:pt>
                      <c:pt idx="30">
                        <c:v>3702</c:v>
                      </c:pt>
                      <c:pt idx="31">
                        <c:v>3869</c:v>
                      </c:pt>
                      <c:pt idx="32">
                        <c:v>3753</c:v>
                      </c:pt>
                      <c:pt idx="33">
                        <c:v>3951</c:v>
                      </c:pt>
                      <c:pt idx="34">
                        <c:v>3799</c:v>
                      </c:pt>
                      <c:pt idx="35">
                        <c:v>3780</c:v>
                      </c:pt>
                      <c:pt idx="36">
                        <c:v>3905</c:v>
                      </c:pt>
                      <c:pt idx="37">
                        <c:v>3869</c:v>
                      </c:pt>
                      <c:pt idx="38">
                        <c:v>4176</c:v>
                      </c:pt>
                      <c:pt idx="39">
                        <c:v>4106</c:v>
                      </c:pt>
                      <c:pt idx="40">
                        <c:v>4063</c:v>
                      </c:pt>
                      <c:pt idx="41">
                        <c:v>4008</c:v>
                      </c:pt>
                      <c:pt idx="42">
                        <c:v>4009</c:v>
                      </c:pt>
                      <c:pt idx="43">
                        <c:v>3898</c:v>
                      </c:pt>
                      <c:pt idx="44">
                        <c:v>3737</c:v>
                      </c:pt>
                      <c:pt idx="45">
                        <c:v>4167</c:v>
                      </c:pt>
                      <c:pt idx="46">
                        <c:v>4312</c:v>
                      </c:pt>
                      <c:pt idx="47">
                        <c:v>4539</c:v>
                      </c:pt>
                      <c:pt idx="48">
                        <c:v>4781</c:v>
                      </c:pt>
                      <c:pt idx="49">
                        <c:v>4493</c:v>
                      </c:pt>
                      <c:pt idx="50">
                        <c:v>4680</c:v>
                      </c:pt>
                      <c:pt idx="51">
                        <c:v>4791</c:v>
                      </c:pt>
                      <c:pt idx="52">
                        <c:v>4671</c:v>
                      </c:pt>
                      <c:pt idx="53">
                        <c:v>4674</c:v>
                      </c:pt>
                      <c:pt idx="54">
                        <c:v>4642</c:v>
                      </c:pt>
                      <c:pt idx="55">
                        <c:v>4545</c:v>
                      </c:pt>
                      <c:pt idx="56">
                        <c:v>4282</c:v>
                      </c:pt>
                      <c:pt idx="57">
                        <c:v>4767</c:v>
                      </c:pt>
                      <c:pt idx="58">
                        <c:v>4971</c:v>
                      </c:pt>
                      <c:pt idx="59">
                        <c:v>4914</c:v>
                      </c:pt>
                      <c:pt idx="60">
                        <c:v>5408</c:v>
                      </c:pt>
                      <c:pt idx="61">
                        <c:v>5070</c:v>
                      </c:pt>
                      <c:pt idx="62">
                        <c:v>4502</c:v>
                      </c:pt>
                      <c:pt idx="63">
                        <c:v>3927</c:v>
                      </c:pt>
                      <c:pt idx="64">
                        <c:v>3701</c:v>
                      </c:pt>
                      <c:pt idx="65">
                        <c:v>3699</c:v>
                      </c:pt>
                      <c:pt idx="66">
                        <c:v>3612</c:v>
                      </c:pt>
                      <c:pt idx="67">
                        <c:v>3570</c:v>
                      </c:pt>
                      <c:pt idx="68">
                        <c:v>3827</c:v>
                      </c:pt>
                      <c:pt idx="69">
                        <c:v>3865</c:v>
                      </c:pt>
                      <c:pt idx="70">
                        <c:v>4017</c:v>
                      </c:pt>
                      <c:pt idx="71">
                        <c:v>4444</c:v>
                      </c:pt>
                      <c:pt idx="72">
                        <c:v>4575</c:v>
                      </c:pt>
                      <c:pt idx="73">
                        <c:v>4666</c:v>
                      </c:pt>
                      <c:pt idx="74">
                        <c:v>4953</c:v>
                      </c:pt>
                      <c:pt idx="75">
                        <c:v>5081</c:v>
                      </c:pt>
                      <c:pt idx="76">
                        <c:v>5386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5437</c:v>
                      </c:pt>
                      <c:pt idx="80">
                        <c:v>5036</c:v>
                      </c:pt>
                      <c:pt idx="81">
                        <c:v>5508</c:v>
                      </c:pt>
                      <c:pt idx="82">
                        <c:v>5481</c:v>
                      </c:pt>
                      <c:pt idx="83">
                        <c:v>5547</c:v>
                      </c:pt>
                      <c:pt idx="84">
                        <c:v>5518</c:v>
                      </c:pt>
                      <c:pt idx="85">
                        <c:v>5407</c:v>
                      </c:pt>
                      <c:pt idx="86">
                        <c:v>5356</c:v>
                      </c:pt>
                      <c:pt idx="87">
                        <c:v>5575</c:v>
                      </c:pt>
                      <c:pt idx="88">
                        <c:v>5828</c:v>
                      </c:pt>
                      <c:pt idx="89">
                        <c:v>5686</c:v>
                      </c:pt>
                      <c:pt idx="90">
                        <c:v>5749</c:v>
                      </c:pt>
                      <c:pt idx="91">
                        <c:v>5522</c:v>
                      </c:pt>
                      <c:pt idx="92">
                        <c:v>4929</c:v>
                      </c:pt>
                      <c:pt idx="93">
                        <c:v>5029</c:v>
                      </c:pt>
                      <c:pt idx="94">
                        <c:v>5136</c:v>
                      </c:pt>
                      <c:pt idx="95">
                        <c:v>5146</c:v>
                      </c:pt>
                      <c:pt idx="96">
                        <c:v>5146</c:v>
                      </c:pt>
                      <c:pt idx="97">
                        <c:v>5252</c:v>
                      </c:pt>
                      <c:pt idx="98">
                        <c:v>4953</c:v>
                      </c:pt>
                      <c:pt idx="99">
                        <c:v>5628</c:v>
                      </c:pt>
                      <c:pt idx="100">
                        <c:v>5007</c:v>
                      </c:pt>
                      <c:pt idx="101">
                        <c:v>4997</c:v>
                      </c:pt>
                      <c:pt idx="102">
                        <c:v>4736</c:v>
                      </c:pt>
                      <c:pt idx="103">
                        <c:v>4769</c:v>
                      </c:pt>
                      <c:pt idx="104">
                        <c:v>4687</c:v>
                      </c:pt>
                      <c:pt idx="105">
                        <c:v>4858</c:v>
                      </c:pt>
                      <c:pt idx="106">
                        <c:v>5002</c:v>
                      </c:pt>
                      <c:pt idx="107">
                        <c:v>4970</c:v>
                      </c:pt>
                      <c:pt idx="108">
                        <c:v>5492</c:v>
                      </c:pt>
                      <c:pt idx="109">
                        <c:v>5548</c:v>
                      </c:pt>
                      <c:pt idx="110">
                        <c:v>5627</c:v>
                      </c:pt>
                      <c:pt idx="111">
                        <c:v>5511</c:v>
                      </c:pt>
                      <c:pt idx="112">
                        <c:v>5651</c:v>
                      </c:pt>
                      <c:pt idx="113">
                        <c:v>5394</c:v>
                      </c:pt>
                      <c:pt idx="114">
                        <c:v>5302</c:v>
                      </c:pt>
                      <c:pt idx="115">
                        <c:v>5103</c:v>
                      </c:pt>
                      <c:pt idx="116">
                        <c:v>4933</c:v>
                      </c:pt>
                      <c:pt idx="117">
                        <c:v>5245</c:v>
                      </c:pt>
                      <c:pt idx="118">
                        <c:v>5379</c:v>
                      </c:pt>
                      <c:pt idx="119">
                        <c:v>5377</c:v>
                      </c:pt>
                      <c:pt idx="120">
                        <c:v>4938</c:v>
                      </c:pt>
                      <c:pt idx="121">
                        <c:v>4897</c:v>
                      </c:pt>
                      <c:pt idx="122">
                        <c:v>5076</c:v>
                      </c:pt>
                      <c:pt idx="123">
                        <c:v>5043</c:v>
                      </c:pt>
                      <c:pt idx="124">
                        <c:v>5244</c:v>
                      </c:pt>
                      <c:pt idx="125">
                        <c:v>5081</c:v>
                      </c:pt>
                      <c:pt idx="126">
                        <c:v>4819</c:v>
                      </c:pt>
                      <c:pt idx="127">
                        <c:v>4420</c:v>
                      </c:pt>
                      <c:pt idx="128">
                        <c:v>4390</c:v>
                      </c:pt>
                      <c:pt idx="129">
                        <c:v>4560</c:v>
                      </c:pt>
                      <c:pt idx="130">
                        <c:v>5134</c:v>
                      </c:pt>
                      <c:pt idx="131">
                        <c:v>4892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4176</c:v>
                      </c:pt>
                      <c:pt idx="135">
                        <c:v>4135</c:v>
                      </c:pt>
                      <c:pt idx="136">
                        <c:v>3957</c:v>
                      </c:pt>
                      <c:pt idx="137">
                        <c:v>4031</c:v>
                      </c:pt>
                      <c:pt idx="138">
                        <c:v>3695</c:v>
                      </c:pt>
                      <c:pt idx="139">
                        <c:v>3533</c:v>
                      </c:pt>
                      <c:pt idx="140">
                        <c:v>3508</c:v>
                      </c:pt>
                      <c:pt idx="141">
                        <c:v>3429</c:v>
                      </c:pt>
                      <c:pt idx="142">
                        <c:v>3431</c:v>
                      </c:pt>
                      <c:pt idx="143">
                        <c:v>3501</c:v>
                      </c:pt>
                      <c:pt idx="144">
                        <c:v>3313</c:v>
                      </c:pt>
                      <c:pt idx="145">
                        <c:v>3218</c:v>
                      </c:pt>
                      <c:pt idx="146">
                        <c:v>3016</c:v>
                      </c:pt>
                      <c:pt idx="147">
                        <c:v>3196</c:v>
                      </c:pt>
                      <c:pt idx="148">
                        <c:v>3224</c:v>
                      </c:pt>
                      <c:pt idx="149">
                        <c:v>3027</c:v>
                      </c:pt>
                      <c:pt idx="150">
                        <c:v>2741</c:v>
                      </c:pt>
                      <c:pt idx="151">
                        <c:v>2746</c:v>
                      </c:pt>
                      <c:pt idx="152">
                        <c:v>2721</c:v>
                      </c:pt>
                      <c:pt idx="153">
                        <c:v>2816</c:v>
                      </c:pt>
                      <c:pt idx="154">
                        <c:v>2730</c:v>
                      </c:pt>
                      <c:pt idx="155">
                        <c:v>2628</c:v>
                      </c:pt>
                      <c:pt idx="156">
                        <c:v>2780</c:v>
                      </c:pt>
                      <c:pt idx="157">
                        <c:v>2762</c:v>
                      </c:pt>
                      <c:pt idx="158">
                        <c:v>2635</c:v>
                      </c:pt>
                      <c:pt idx="159">
                        <c:v>2682</c:v>
                      </c:pt>
                      <c:pt idx="160">
                        <c:v>2772</c:v>
                      </c:pt>
                      <c:pt idx="161">
                        <c:v>2814</c:v>
                      </c:pt>
                      <c:pt idx="162">
                        <c:v>2845</c:v>
                      </c:pt>
                      <c:pt idx="163">
                        <c:v>2757</c:v>
                      </c:pt>
                      <c:pt idx="164">
                        <c:v>2839</c:v>
                      </c:pt>
                      <c:pt idx="165">
                        <c:v>2756</c:v>
                      </c:pt>
                      <c:pt idx="166">
                        <c:v>2761</c:v>
                      </c:pt>
                      <c:pt idx="167">
                        <c:v>2904</c:v>
                      </c:pt>
                      <c:pt idx="168">
                        <c:v>2886</c:v>
                      </c:pt>
                      <c:pt idx="169">
                        <c:v>2869</c:v>
                      </c:pt>
                      <c:pt idx="170">
                        <c:v>2886</c:v>
                      </c:pt>
                      <c:pt idx="171">
                        <c:v>2875</c:v>
                      </c:pt>
                      <c:pt idx="172">
                        <c:v>2830</c:v>
                      </c:pt>
                      <c:pt idx="173">
                        <c:v>2870</c:v>
                      </c:pt>
                      <c:pt idx="174">
                        <c:v>3049</c:v>
                      </c:pt>
                      <c:pt idx="175">
                        <c:v>3037</c:v>
                      </c:pt>
                      <c:pt idx="176">
                        <c:v>3006</c:v>
                      </c:pt>
                      <c:pt idx="177">
                        <c:v>2767</c:v>
                      </c:pt>
                      <c:pt idx="178">
                        <c:v>2608</c:v>
                      </c:pt>
                      <c:pt idx="179">
                        <c:v>2652</c:v>
                      </c:pt>
                      <c:pt idx="180">
                        <c:v>2561</c:v>
                      </c:pt>
                      <c:pt idx="181">
                        <c:v>2472</c:v>
                      </c:pt>
                      <c:pt idx="182">
                        <c:v>2465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B5-4356-9520-D2260B64295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HISTORICAL!$F$1</c15:sqref>
                        </c15:formulaRef>
                      </c:ext>
                    </c:extLst>
                    <c:strCache>
                      <c:ptCount val="1"/>
                      <c:pt idx="0">
                        <c:v>FOB (VND) in K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HISTORICAL!$A$2:$A$184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HISTORICAL!$F$2:$F$184</c15:sqref>
                        </c15:formulaRef>
                      </c:ext>
                    </c:extLst>
                    <c:numCache>
                      <c:formatCode>#,##0</c:formatCode>
                      <c:ptCount val="183"/>
                      <c:pt idx="0">
                        <c:v>81447.047999999995</c:v>
                      </c:pt>
                      <c:pt idx="1">
                        <c:v>92207.808000000005</c:v>
                      </c:pt>
                      <c:pt idx="2">
                        <c:v>93666.402000000002</c:v>
                      </c:pt>
                      <c:pt idx="3">
                        <c:v>94641.497000000003</c:v>
                      </c:pt>
                      <c:pt idx="4">
                        <c:v>91744.7</c:v>
                      </c:pt>
                      <c:pt idx="5">
                        <c:v>93918.498999999996</c:v>
                      </c:pt>
                      <c:pt idx="6">
                        <c:v>97307.433999999994</c:v>
                      </c:pt>
                      <c:pt idx="7">
                        <c:v>93174.18</c:v>
                      </c:pt>
                      <c:pt idx="8">
                        <c:v>98436.9</c:v>
                      </c:pt>
                      <c:pt idx="9">
                        <c:v>102464.674</c:v>
                      </c:pt>
                      <c:pt idx="10">
                        <c:v>100213.08</c:v>
                      </c:pt>
                      <c:pt idx="11">
                        <c:v>104070.27800000001</c:v>
                      </c:pt>
                      <c:pt idx="12">
                        <c:v>103565.539</c:v>
                      </c:pt>
                      <c:pt idx="13">
                        <c:v>102308.83199999999</c:v>
                      </c:pt>
                      <c:pt idx="14">
                        <c:v>104925.247</c:v>
                      </c:pt>
                      <c:pt idx="15">
                        <c:v>111285.57</c:v>
                      </c:pt>
                      <c:pt idx="16">
                        <c:v>104693.155</c:v>
                      </c:pt>
                      <c:pt idx="17">
                        <c:v>102681.13</c:v>
                      </c:pt>
                      <c:pt idx="18">
                        <c:v>101638.63</c:v>
                      </c:pt>
                      <c:pt idx="19">
                        <c:v>96217.875</c:v>
                      </c:pt>
                      <c:pt idx="20">
                        <c:v>93276.25</c:v>
                      </c:pt>
                      <c:pt idx="21">
                        <c:v>97274.57</c:v>
                      </c:pt>
                      <c:pt idx="22">
                        <c:v>96941.65</c:v>
                      </c:pt>
                      <c:pt idx="23">
                        <c:v>100267.77</c:v>
                      </c:pt>
                      <c:pt idx="24">
                        <c:v>97199.76</c:v>
                      </c:pt>
                      <c:pt idx="25">
                        <c:v>95958.554999999993</c:v>
                      </c:pt>
                      <c:pt idx="26">
                        <c:v>98786.558000000005</c:v>
                      </c:pt>
                      <c:pt idx="27">
                        <c:v>95055.428</c:v>
                      </c:pt>
                      <c:pt idx="28">
                        <c:v>89988.08</c:v>
                      </c:pt>
                      <c:pt idx="29">
                        <c:v>92769.06</c:v>
                      </c:pt>
                      <c:pt idx="30">
                        <c:v>97540.296000000002</c:v>
                      </c:pt>
                      <c:pt idx="31">
                        <c:v>101580.595</c:v>
                      </c:pt>
                      <c:pt idx="32">
                        <c:v>98291.07</c:v>
                      </c:pt>
                      <c:pt idx="33">
                        <c:v>103555.71</c:v>
                      </c:pt>
                      <c:pt idx="34">
                        <c:v>98887.97</c:v>
                      </c:pt>
                      <c:pt idx="35">
                        <c:v>97977.600000000006</c:v>
                      </c:pt>
                      <c:pt idx="36">
                        <c:v>101178.55</c:v>
                      </c:pt>
                      <c:pt idx="37">
                        <c:v>100400.55</c:v>
                      </c:pt>
                      <c:pt idx="38">
                        <c:v>108367.2</c:v>
                      </c:pt>
                      <c:pt idx="39">
                        <c:v>107852.302</c:v>
                      </c:pt>
                      <c:pt idx="40">
                        <c:v>106572.49</c:v>
                      </c:pt>
                      <c:pt idx="41">
                        <c:v>105129.84</c:v>
                      </c:pt>
                      <c:pt idx="42">
                        <c:v>105416.655</c:v>
                      </c:pt>
                      <c:pt idx="43">
                        <c:v>102575.87</c:v>
                      </c:pt>
                      <c:pt idx="44">
                        <c:v>98227.044999999998</c:v>
                      </c:pt>
                      <c:pt idx="45">
                        <c:v>109592.1</c:v>
                      </c:pt>
                      <c:pt idx="46">
                        <c:v>113578.08</c:v>
                      </c:pt>
                      <c:pt idx="47">
                        <c:v>119702.508</c:v>
                      </c:pt>
                      <c:pt idx="48">
                        <c:v>126055.84600000001</c:v>
                      </c:pt>
                      <c:pt idx="49">
                        <c:v>118390.55</c:v>
                      </c:pt>
                      <c:pt idx="50">
                        <c:v>123013.8</c:v>
                      </c:pt>
                      <c:pt idx="51">
                        <c:v>126075.16499999999</c:v>
                      </c:pt>
                      <c:pt idx="52">
                        <c:v>122903.352</c:v>
                      </c:pt>
                      <c:pt idx="53">
                        <c:v>122972.94</c:v>
                      </c:pt>
                      <c:pt idx="54">
                        <c:v>122298.132</c:v>
                      </c:pt>
                      <c:pt idx="55">
                        <c:v>119956.185</c:v>
                      </c:pt>
                      <c:pt idx="56">
                        <c:v>112959.16</c:v>
                      </c:pt>
                      <c:pt idx="57">
                        <c:v>125634.285</c:v>
                      </c:pt>
                      <c:pt idx="58">
                        <c:v>131110.125</c:v>
                      </c:pt>
                      <c:pt idx="59">
                        <c:v>129533.04</c:v>
                      </c:pt>
                      <c:pt idx="60">
                        <c:v>142554.88</c:v>
                      </c:pt>
                      <c:pt idx="61">
                        <c:v>133873.35</c:v>
                      </c:pt>
                      <c:pt idx="62">
                        <c:v>118087.46</c:v>
                      </c:pt>
                      <c:pt idx="63">
                        <c:v>102848.13</c:v>
                      </c:pt>
                      <c:pt idx="64">
                        <c:v>96955.096999999994</c:v>
                      </c:pt>
                      <c:pt idx="65">
                        <c:v>96580.89</c:v>
                      </c:pt>
                      <c:pt idx="66">
                        <c:v>94399.62</c:v>
                      </c:pt>
                      <c:pt idx="67">
                        <c:v>93223.41</c:v>
                      </c:pt>
                      <c:pt idx="68">
                        <c:v>100171.72500000001</c:v>
                      </c:pt>
                      <c:pt idx="69">
                        <c:v>100876.5</c:v>
                      </c:pt>
                      <c:pt idx="70">
                        <c:v>104936.091</c:v>
                      </c:pt>
                      <c:pt idx="71">
                        <c:v>115632.88</c:v>
                      </c:pt>
                      <c:pt idx="72">
                        <c:v>119206.2</c:v>
                      </c:pt>
                      <c:pt idx="73">
                        <c:v>121082.7</c:v>
                      </c:pt>
                      <c:pt idx="74">
                        <c:v>128629.41</c:v>
                      </c:pt>
                      <c:pt idx="75">
                        <c:v>131699.51999999999</c:v>
                      </c:pt>
                      <c:pt idx="76">
                        <c:v>139755.92800000001</c:v>
                      </c:pt>
                      <c:pt idx="77">
                        <c:v>144163.01999999999</c:v>
                      </c:pt>
                      <c:pt idx="78">
                        <c:v>146448.302</c:v>
                      </c:pt>
                      <c:pt idx="79">
                        <c:v>140475.769</c:v>
                      </c:pt>
                      <c:pt idx="80">
                        <c:v>129626.64</c:v>
                      </c:pt>
                      <c:pt idx="81">
                        <c:v>142051.32</c:v>
                      </c:pt>
                      <c:pt idx="82">
                        <c:v>140094.35999999999</c:v>
                      </c:pt>
                      <c:pt idx="83">
                        <c:v>141698.11499999999</c:v>
                      </c:pt>
                      <c:pt idx="84">
                        <c:v>140653.82</c:v>
                      </c:pt>
                      <c:pt idx="85">
                        <c:v>137797.39499999999</c:v>
                      </c:pt>
                      <c:pt idx="86">
                        <c:v>136685.12</c:v>
                      </c:pt>
                      <c:pt idx="87">
                        <c:v>142162.5</c:v>
                      </c:pt>
                      <c:pt idx="88">
                        <c:v>148264.32000000001</c:v>
                      </c:pt>
                      <c:pt idx="89">
                        <c:v>143628.35999999999</c:v>
                      </c:pt>
                      <c:pt idx="90">
                        <c:v>144069.94</c:v>
                      </c:pt>
                      <c:pt idx="91">
                        <c:v>138491.76</c:v>
                      </c:pt>
                      <c:pt idx="92">
                        <c:v>125048.73</c:v>
                      </c:pt>
                      <c:pt idx="93">
                        <c:v>127610.875</c:v>
                      </c:pt>
                      <c:pt idx="94">
                        <c:v>130711.2</c:v>
                      </c:pt>
                      <c:pt idx="95">
                        <c:v>130837.05</c:v>
                      </c:pt>
                      <c:pt idx="96">
                        <c:v>130965.7</c:v>
                      </c:pt>
                      <c:pt idx="97">
                        <c:v>133369.288</c:v>
                      </c:pt>
                      <c:pt idx="98">
                        <c:v>125707.14</c:v>
                      </c:pt>
                      <c:pt idx="99">
                        <c:v>142714.82399999999</c:v>
                      </c:pt>
                      <c:pt idx="100">
                        <c:v>127252.905</c:v>
                      </c:pt>
                      <c:pt idx="101">
                        <c:v>126873.83</c:v>
                      </c:pt>
                      <c:pt idx="102">
                        <c:v>120057.60000000001</c:v>
                      </c:pt>
                      <c:pt idx="103">
                        <c:v>120512.63</c:v>
                      </c:pt>
                      <c:pt idx="104">
                        <c:v>118979.495</c:v>
                      </c:pt>
                      <c:pt idx="105">
                        <c:v>122324.44</c:v>
                      </c:pt>
                      <c:pt idx="106">
                        <c:v>124199.66</c:v>
                      </c:pt>
                      <c:pt idx="107">
                        <c:v>122982.65</c:v>
                      </c:pt>
                      <c:pt idx="108">
                        <c:v>135185.57999999999</c:v>
                      </c:pt>
                      <c:pt idx="109">
                        <c:v>136286.62</c:v>
                      </c:pt>
                      <c:pt idx="110">
                        <c:v>138283.52499999999</c:v>
                      </c:pt>
                      <c:pt idx="111">
                        <c:v>136287.03</c:v>
                      </c:pt>
                      <c:pt idx="112">
                        <c:v>140540.37</c:v>
                      </c:pt>
                      <c:pt idx="113">
                        <c:v>134634.23999999999</c:v>
                      </c:pt>
                      <c:pt idx="114">
                        <c:v>132815.1</c:v>
                      </c:pt>
                      <c:pt idx="115">
                        <c:v>128263.905</c:v>
                      </c:pt>
                      <c:pt idx="116">
                        <c:v>124385.595</c:v>
                      </c:pt>
                      <c:pt idx="117">
                        <c:v>132619.82500000001</c:v>
                      </c:pt>
                      <c:pt idx="118">
                        <c:v>136142.49</c:v>
                      </c:pt>
                      <c:pt idx="119">
                        <c:v>136656.45499999999</c:v>
                      </c:pt>
                      <c:pt idx="120">
                        <c:v>125672.1</c:v>
                      </c:pt>
                      <c:pt idx="121">
                        <c:v>124653.13499999999</c:v>
                      </c:pt>
                      <c:pt idx="122">
                        <c:v>129184.2</c:v>
                      </c:pt>
                      <c:pt idx="123">
                        <c:v>128268.705</c:v>
                      </c:pt>
                      <c:pt idx="124">
                        <c:v>133302.48000000001</c:v>
                      </c:pt>
                      <c:pt idx="125">
                        <c:v>129311.45</c:v>
                      </c:pt>
                      <c:pt idx="126">
                        <c:v>122735.111</c:v>
                      </c:pt>
                      <c:pt idx="127">
                        <c:v>112405.02</c:v>
                      </c:pt>
                      <c:pt idx="128">
                        <c:v>111725.5</c:v>
                      </c:pt>
                      <c:pt idx="129">
                        <c:v>115778.4</c:v>
                      </c:pt>
                      <c:pt idx="130">
                        <c:v>130146.9</c:v>
                      </c:pt>
                      <c:pt idx="131">
                        <c:v>124256.8</c:v>
                      </c:pt>
                      <c:pt idx="132">
                        <c:v>114658.2</c:v>
                      </c:pt>
                      <c:pt idx="133">
                        <c:v>112157.63</c:v>
                      </c:pt>
                      <c:pt idx="134">
                        <c:v>103523.04</c:v>
                      </c:pt>
                      <c:pt idx="135">
                        <c:v>102485.97500000001</c:v>
                      </c:pt>
                      <c:pt idx="136">
                        <c:v>97698.33</c:v>
                      </c:pt>
                      <c:pt idx="137">
                        <c:v>99485.08</c:v>
                      </c:pt>
                      <c:pt idx="138">
                        <c:v>91044.800000000003</c:v>
                      </c:pt>
                      <c:pt idx="139">
                        <c:v>86876.47</c:v>
                      </c:pt>
                      <c:pt idx="140">
                        <c:v>85770.6</c:v>
                      </c:pt>
                      <c:pt idx="141">
                        <c:v>83667.600000000006</c:v>
                      </c:pt>
                      <c:pt idx="142">
                        <c:v>83716.399999999994</c:v>
                      </c:pt>
                      <c:pt idx="143">
                        <c:v>86142.104999999996</c:v>
                      </c:pt>
                      <c:pt idx="144">
                        <c:v>81317.585000000006</c:v>
                      </c:pt>
                      <c:pt idx="145">
                        <c:v>78760.55</c:v>
                      </c:pt>
                      <c:pt idx="146">
                        <c:v>73469.759999999995</c:v>
                      </c:pt>
                      <c:pt idx="147">
                        <c:v>77455.06</c:v>
                      </c:pt>
                      <c:pt idx="148">
                        <c:v>78407.679999999993</c:v>
                      </c:pt>
                      <c:pt idx="149">
                        <c:v>73389.615000000005</c:v>
                      </c:pt>
                      <c:pt idx="150">
                        <c:v>66537.774999999994</c:v>
                      </c:pt>
                      <c:pt idx="151">
                        <c:v>66590.5</c:v>
                      </c:pt>
                      <c:pt idx="152">
                        <c:v>65957.039999999994</c:v>
                      </c:pt>
                      <c:pt idx="153">
                        <c:v>68395.008000000002</c:v>
                      </c:pt>
                      <c:pt idx="154">
                        <c:v>66448.2</c:v>
                      </c:pt>
                      <c:pt idx="155">
                        <c:v>64569.96</c:v>
                      </c:pt>
                      <c:pt idx="156">
                        <c:v>68360.2</c:v>
                      </c:pt>
                      <c:pt idx="157">
                        <c:v>67807.100000000006</c:v>
                      </c:pt>
                      <c:pt idx="158">
                        <c:v>64386.224999999999</c:v>
                      </c:pt>
                      <c:pt idx="159">
                        <c:v>65387.16</c:v>
                      </c:pt>
                      <c:pt idx="160">
                        <c:v>67595.22</c:v>
                      </c:pt>
                      <c:pt idx="161">
                        <c:v>68408.34</c:v>
                      </c:pt>
                      <c:pt idx="162">
                        <c:v>68905.899999999994</c:v>
                      </c:pt>
                      <c:pt idx="163">
                        <c:v>66333.42</c:v>
                      </c:pt>
                      <c:pt idx="164">
                        <c:v>68306.34</c:v>
                      </c:pt>
                      <c:pt idx="165">
                        <c:v>66130.22</c:v>
                      </c:pt>
                      <c:pt idx="166">
                        <c:v>65849.850000000006</c:v>
                      </c:pt>
                      <c:pt idx="167">
                        <c:v>68940.960000000006</c:v>
                      </c:pt>
                      <c:pt idx="168">
                        <c:v>68542.5</c:v>
                      </c:pt>
                      <c:pt idx="169">
                        <c:v>67883.409</c:v>
                      </c:pt>
                      <c:pt idx="170">
                        <c:v>68245.241999999998</c:v>
                      </c:pt>
                      <c:pt idx="171">
                        <c:v>68036.875</c:v>
                      </c:pt>
                      <c:pt idx="172">
                        <c:v>67099.3</c:v>
                      </c:pt>
                      <c:pt idx="173">
                        <c:v>67643.03</c:v>
                      </c:pt>
                      <c:pt idx="174">
                        <c:v>71697.235000000001</c:v>
                      </c:pt>
                      <c:pt idx="175">
                        <c:v>71445.425000000003</c:v>
                      </c:pt>
                      <c:pt idx="176">
                        <c:v>70610.94</c:v>
                      </c:pt>
                      <c:pt idx="177">
                        <c:v>64982.995000000003</c:v>
                      </c:pt>
                      <c:pt idx="178">
                        <c:v>61209.760000000002</c:v>
                      </c:pt>
                      <c:pt idx="179">
                        <c:v>62189.4</c:v>
                      </c:pt>
                      <c:pt idx="180">
                        <c:v>60093.864999999998</c:v>
                      </c:pt>
                      <c:pt idx="181">
                        <c:v>57956.04</c:v>
                      </c:pt>
                      <c:pt idx="182">
                        <c:v>57791.925000000003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B5-4356-9520-D2260B64295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HISTORICAL!$G$1</c15:sqref>
                        </c15:formulaRef>
                      </c:ext>
                    </c:extLst>
                    <c:strCache>
                      <c:ptCount val="1"/>
                      <c:pt idx="0">
                        <c:v>Farmer's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HISTORICAL!$A$2:$A$184</c15:sqref>
                        </c15:formulaRef>
                      </c:ext>
                    </c:extLst>
                    <c:numCache>
                      <c:formatCode>m/d/yyyy</c:formatCode>
                      <c:ptCount val="183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HISTORICAL!$G$2:$G$184</c15:sqref>
                        </c15:formulaRef>
                      </c:ext>
                    </c:extLst>
                    <c:numCache>
                      <c:formatCode>#,##0</c:formatCode>
                      <c:ptCount val="183"/>
                      <c:pt idx="0">
                        <c:v>80671.607999999993</c:v>
                      </c:pt>
                      <c:pt idx="1">
                        <c:v>91431.648000000001</c:v>
                      </c:pt>
                      <c:pt idx="2">
                        <c:v>92889.732000000004</c:v>
                      </c:pt>
                      <c:pt idx="3">
                        <c:v>93862.126999999993</c:v>
                      </c:pt>
                      <c:pt idx="4">
                        <c:v>90965</c:v>
                      </c:pt>
                      <c:pt idx="5">
                        <c:v>93138.229000000007</c:v>
                      </c:pt>
                      <c:pt idx="6">
                        <c:v>96529.804000000004</c:v>
                      </c:pt>
                      <c:pt idx="7">
                        <c:v>92392.08</c:v>
                      </c:pt>
                      <c:pt idx="8">
                        <c:v>97654.62</c:v>
                      </c:pt>
                      <c:pt idx="9">
                        <c:v>101681.704</c:v>
                      </c:pt>
                      <c:pt idx="10">
                        <c:v>99430.98</c:v>
                      </c:pt>
                      <c:pt idx="11">
                        <c:v>103283.258</c:v>
                      </c:pt>
                      <c:pt idx="12">
                        <c:v>102777.16899999999</c:v>
                      </c:pt>
                      <c:pt idx="13">
                        <c:v>101519.412</c:v>
                      </c:pt>
                      <c:pt idx="14">
                        <c:v>104137.717</c:v>
                      </c:pt>
                      <c:pt idx="15">
                        <c:v>110496.87</c:v>
                      </c:pt>
                      <c:pt idx="16">
                        <c:v>103904.605</c:v>
                      </c:pt>
                      <c:pt idx="17">
                        <c:v>101891.68</c:v>
                      </c:pt>
                      <c:pt idx="18">
                        <c:v>100850.53</c:v>
                      </c:pt>
                      <c:pt idx="19">
                        <c:v>95428.125</c:v>
                      </c:pt>
                      <c:pt idx="20">
                        <c:v>92488</c:v>
                      </c:pt>
                      <c:pt idx="21">
                        <c:v>96484.79</c:v>
                      </c:pt>
                      <c:pt idx="22">
                        <c:v>96151.15</c:v>
                      </c:pt>
                      <c:pt idx="23">
                        <c:v>99478.26</c:v>
                      </c:pt>
                      <c:pt idx="24">
                        <c:v>96410.16</c:v>
                      </c:pt>
                      <c:pt idx="25">
                        <c:v>95167.904999999999</c:v>
                      </c:pt>
                      <c:pt idx="26">
                        <c:v>97997.737999999998</c:v>
                      </c:pt>
                      <c:pt idx="27">
                        <c:v>94266.368000000002</c:v>
                      </c:pt>
                      <c:pt idx="28">
                        <c:v>89198.48</c:v>
                      </c:pt>
                      <c:pt idx="29">
                        <c:v>91979.76</c:v>
                      </c:pt>
                      <c:pt idx="30">
                        <c:v>96749.856</c:v>
                      </c:pt>
                      <c:pt idx="31">
                        <c:v>100792.94500000001</c:v>
                      </c:pt>
                      <c:pt idx="32">
                        <c:v>97505.37</c:v>
                      </c:pt>
                      <c:pt idx="33">
                        <c:v>102769.41</c:v>
                      </c:pt>
                      <c:pt idx="34">
                        <c:v>98107.07</c:v>
                      </c:pt>
                      <c:pt idx="35">
                        <c:v>97200</c:v>
                      </c:pt>
                      <c:pt idx="36">
                        <c:v>100401.25</c:v>
                      </c:pt>
                      <c:pt idx="37">
                        <c:v>99622.05</c:v>
                      </c:pt>
                      <c:pt idx="38">
                        <c:v>107588.7</c:v>
                      </c:pt>
                      <c:pt idx="39">
                        <c:v>107064.292</c:v>
                      </c:pt>
                      <c:pt idx="40">
                        <c:v>105785.59</c:v>
                      </c:pt>
                      <c:pt idx="41">
                        <c:v>104342.94</c:v>
                      </c:pt>
                      <c:pt idx="42">
                        <c:v>104627.80499999999</c:v>
                      </c:pt>
                      <c:pt idx="43">
                        <c:v>101786.42</c:v>
                      </c:pt>
                      <c:pt idx="44">
                        <c:v>97438.494999999995</c:v>
                      </c:pt>
                      <c:pt idx="45">
                        <c:v>108803.1</c:v>
                      </c:pt>
                      <c:pt idx="46">
                        <c:v>112787.88</c:v>
                      </c:pt>
                      <c:pt idx="47">
                        <c:v>118911.348</c:v>
                      </c:pt>
                      <c:pt idx="48">
                        <c:v>125264.86599999999</c:v>
                      </c:pt>
                      <c:pt idx="49">
                        <c:v>117600.05</c:v>
                      </c:pt>
                      <c:pt idx="50">
                        <c:v>122225.25</c:v>
                      </c:pt>
                      <c:pt idx="51">
                        <c:v>125285.715</c:v>
                      </c:pt>
                      <c:pt idx="52">
                        <c:v>122113.992</c:v>
                      </c:pt>
                      <c:pt idx="53">
                        <c:v>122183.64</c:v>
                      </c:pt>
                      <c:pt idx="54">
                        <c:v>121507.75199999999</c:v>
                      </c:pt>
                      <c:pt idx="55">
                        <c:v>119164.395</c:v>
                      </c:pt>
                      <c:pt idx="56">
                        <c:v>112167.76</c:v>
                      </c:pt>
                      <c:pt idx="57">
                        <c:v>124843.63499999999</c:v>
                      </c:pt>
                      <c:pt idx="58">
                        <c:v>130318.875</c:v>
                      </c:pt>
                      <c:pt idx="59">
                        <c:v>128742.24</c:v>
                      </c:pt>
                      <c:pt idx="60">
                        <c:v>141764.07999999999</c:v>
                      </c:pt>
                      <c:pt idx="61">
                        <c:v>133081.20000000001</c:v>
                      </c:pt>
                      <c:pt idx="62">
                        <c:v>117300.56</c:v>
                      </c:pt>
                      <c:pt idx="63">
                        <c:v>102062.43</c:v>
                      </c:pt>
                      <c:pt idx="64">
                        <c:v>96169.187000000005</c:v>
                      </c:pt>
                      <c:pt idx="65">
                        <c:v>95797.59</c:v>
                      </c:pt>
                      <c:pt idx="66">
                        <c:v>93615.57</c:v>
                      </c:pt>
                      <c:pt idx="67">
                        <c:v>92440.02</c:v>
                      </c:pt>
                      <c:pt idx="68">
                        <c:v>99386.475000000006</c:v>
                      </c:pt>
                      <c:pt idx="69">
                        <c:v>100093.5</c:v>
                      </c:pt>
                      <c:pt idx="70">
                        <c:v>104152.401</c:v>
                      </c:pt>
                      <c:pt idx="71">
                        <c:v>114852.28</c:v>
                      </c:pt>
                      <c:pt idx="72">
                        <c:v>118424.52</c:v>
                      </c:pt>
                      <c:pt idx="73">
                        <c:v>120304.2</c:v>
                      </c:pt>
                      <c:pt idx="74">
                        <c:v>127850.31</c:v>
                      </c:pt>
                      <c:pt idx="75">
                        <c:v>130921.92</c:v>
                      </c:pt>
                      <c:pt idx="76">
                        <c:v>138977.48800000001</c:v>
                      </c:pt>
                      <c:pt idx="77">
                        <c:v>143383.62</c:v>
                      </c:pt>
                      <c:pt idx="78">
                        <c:v>145667.522</c:v>
                      </c:pt>
                      <c:pt idx="79">
                        <c:v>139700.65900000001</c:v>
                      </c:pt>
                      <c:pt idx="80">
                        <c:v>128854.44</c:v>
                      </c:pt>
                      <c:pt idx="81">
                        <c:v>141277.62</c:v>
                      </c:pt>
                      <c:pt idx="82">
                        <c:v>139327.56</c:v>
                      </c:pt>
                      <c:pt idx="83">
                        <c:v>140931.76500000001</c:v>
                      </c:pt>
                      <c:pt idx="84">
                        <c:v>139889.12</c:v>
                      </c:pt>
                      <c:pt idx="85">
                        <c:v>137032.845</c:v>
                      </c:pt>
                      <c:pt idx="86">
                        <c:v>135919.51999999999</c:v>
                      </c:pt>
                      <c:pt idx="87">
                        <c:v>141397.5</c:v>
                      </c:pt>
                      <c:pt idx="88">
                        <c:v>147501.12</c:v>
                      </c:pt>
                      <c:pt idx="89">
                        <c:v>142870.56</c:v>
                      </c:pt>
                      <c:pt idx="90">
                        <c:v>143318.14000000001</c:v>
                      </c:pt>
                      <c:pt idx="91">
                        <c:v>137739.35999999999</c:v>
                      </c:pt>
                      <c:pt idx="92">
                        <c:v>124287.63</c:v>
                      </c:pt>
                      <c:pt idx="93">
                        <c:v>126849.625</c:v>
                      </c:pt>
                      <c:pt idx="94">
                        <c:v>129947.7</c:v>
                      </c:pt>
                      <c:pt idx="95">
                        <c:v>130074.3</c:v>
                      </c:pt>
                      <c:pt idx="96">
                        <c:v>130202.2</c:v>
                      </c:pt>
                      <c:pt idx="97">
                        <c:v>132607.46799999999</c:v>
                      </c:pt>
                      <c:pt idx="98">
                        <c:v>124945.74</c:v>
                      </c:pt>
                      <c:pt idx="99">
                        <c:v>141954.084</c:v>
                      </c:pt>
                      <c:pt idx="100">
                        <c:v>126490.455</c:v>
                      </c:pt>
                      <c:pt idx="101">
                        <c:v>126112.13</c:v>
                      </c:pt>
                      <c:pt idx="102">
                        <c:v>119297.1</c:v>
                      </c:pt>
                      <c:pt idx="103">
                        <c:v>119754.53</c:v>
                      </c:pt>
                      <c:pt idx="104">
                        <c:v>118217.94500000001</c:v>
                      </c:pt>
                      <c:pt idx="105">
                        <c:v>121569.04</c:v>
                      </c:pt>
                      <c:pt idx="106">
                        <c:v>123454.76</c:v>
                      </c:pt>
                      <c:pt idx="107">
                        <c:v>122240.3</c:v>
                      </c:pt>
                      <c:pt idx="108">
                        <c:v>134447.13</c:v>
                      </c:pt>
                      <c:pt idx="109">
                        <c:v>135549.67000000001</c:v>
                      </c:pt>
                      <c:pt idx="110">
                        <c:v>137546.27499999999</c:v>
                      </c:pt>
                      <c:pt idx="111">
                        <c:v>135545.13</c:v>
                      </c:pt>
                      <c:pt idx="112">
                        <c:v>139794.26999999999</c:v>
                      </c:pt>
                      <c:pt idx="113">
                        <c:v>133885.44</c:v>
                      </c:pt>
                      <c:pt idx="114">
                        <c:v>132063.6</c:v>
                      </c:pt>
                      <c:pt idx="115">
                        <c:v>127509.855</c:v>
                      </c:pt>
                      <c:pt idx="116">
                        <c:v>123629.145</c:v>
                      </c:pt>
                      <c:pt idx="117">
                        <c:v>131861.27499999999</c:v>
                      </c:pt>
                      <c:pt idx="118">
                        <c:v>135383.19</c:v>
                      </c:pt>
                      <c:pt idx="119">
                        <c:v>135894.005</c:v>
                      </c:pt>
                      <c:pt idx="120">
                        <c:v>124908.6</c:v>
                      </c:pt>
                      <c:pt idx="121">
                        <c:v>123889.485</c:v>
                      </c:pt>
                      <c:pt idx="122">
                        <c:v>128420.7</c:v>
                      </c:pt>
                      <c:pt idx="123">
                        <c:v>127505.655</c:v>
                      </c:pt>
                      <c:pt idx="124">
                        <c:v>132539.88</c:v>
                      </c:pt>
                      <c:pt idx="125">
                        <c:v>128547.95</c:v>
                      </c:pt>
                      <c:pt idx="126">
                        <c:v>121971.041</c:v>
                      </c:pt>
                      <c:pt idx="127">
                        <c:v>111642.09</c:v>
                      </c:pt>
                      <c:pt idx="128">
                        <c:v>110962</c:v>
                      </c:pt>
                      <c:pt idx="129">
                        <c:v>115016.7</c:v>
                      </c:pt>
                      <c:pt idx="130">
                        <c:v>129386.4</c:v>
                      </c:pt>
                      <c:pt idx="131">
                        <c:v>123494.8</c:v>
                      </c:pt>
                      <c:pt idx="132">
                        <c:v>113908.8</c:v>
                      </c:pt>
                      <c:pt idx="133">
                        <c:v>111409.58</c:v>
                      </c:pt>
                      <c:pt idx="134">
                        <c:v>102779.34</c:v>
                      </c:pt>
                      <c:pt idx="135">
                        <c:v>101742.425</c:v>
                      </c:pt>
                      <c:pt idx="136">
                        <c:v>96957.63</c:v>
                      </c:pt>
                      <c:pt idx="137">
                        <c:v>98744.68</c:v>
                      </c:pt>
                      <c:pt idx="138">
                        <c:v>90305.600000000006</c:v>
                      </c:pt>
                      <c:pt idx="139">
                        <c:v>86138.77</c:v>
                      </c:pt>
                      <c:pt idx="140">
                        <c:v>85037.1</c:v>
                      </c:pt>
                      <c:pt idx="141">
                        <c:v>82935.600000000006</c:v>
                      </c:pt>
                      <c:pt idx="142">
                        <c:v>82984.399999999994</c:v>
                      </c:pt>
                      <c:pt idx="143">
                        <c:v>85403.955000000002</c:v>
                      </c:pt>
                      <c:pt idx="144">
                        <c:v>80581.235000000001</c:v>
                      </c:pt>
                      <c:pt idx="145">
                        <c:v>78026.3</c:v>
                      </c:pt>
                      <c:pt idx="146">
                        <c:v>72738.960000000006</c:v>
                      </c:pt>
                      <c:pt idx="147">
                        <c:v>76728.009999999995</c:v>
                      </c:pt>
                      <c:pt idx="148">
                        <c:v>77678.080000000002</c:v>
                      </c:pt>
                      <c:pt idx="149">
                        <c:v>72662.264999999999</c:v>
                      </c:pt>
                      <c:pt idx="150">
                        <c:v>65809.524999999994</c:v>
                      </c:pt>
                      <c:pt idx="151">
                        <c:v>65863</c:v>
                      </c:pt>
                      <c:pt idx="152">
                        <c:v>65229.84</c:v>
                      </c:pt>
                      <c:pt idx="153">
                        <c:v>67666.368000000002</c:v>
                      </c:pt>
                      <c:pt idx="154">
                        <c:v>65718</c:v>
                      </c:pt>
                      <c:pt idx="155">
                        <c:v>63832.86</c:v>
                      </c:pt>
                      <c:pt idx="156">
                        <c:v>67622.5</c:v>
                      </c:pt>
                      <c:pt idx="157">
                        <c:v>67070.600000000006</c:v>
                      </c:pt>
                      <c:pt idx="158">
                        <c:v>63653.175000000003</c:v>
                      </c:pt>
                      <c:pt idx="159">
                        <c:v>64655.76</c:v>
                      </c:pt>
                      <c:pt idx="160">
                        <c:v>66863.67</c:v>
                      </c:pt>
                      <c:pt idx="161">
                        <c:v>67679.039999999994</c:v>
                      </c:pt>
                      <c:pt idx="162">
                        <c:v>68179.3</c:v>
                      </c:pt>
                      <c:pt idx="163">
                        <c:v>65611.62</c:v>
                      </c:pt>
                      <c:pt idx="164">
                        <c:v>67584.539999999994</c:v>
                      </c:pt>
                      <c:pt idx="165">
                        <c:v>65410.37</c:v>
                      </c:pt>
                      <c:pt idx="166">
                        <c:v>65134.35</c:v>
                      </c:pt>
                      <c:pt idx="167">
                        <c:v>68228.759999999995</c:v>
                      </c:pt>
                      <c:pt idx="168">
                        <c:v>67830</c:v>
                      </c:pt>
                      <c:pt idx="169">
                        <c:v>67173.578999999998</c:v>
                      </c:pt>
                      <c:pt idx="170">
                        <c:v>67535.831999999995</c:v>
                      </c:pt>
                      <c:pt idx="171">
                        <c:v>67326.925000000003</c:v>
                      </c:pt>
                      <c:pt idx="172">
                        <c:v>66388</c:v>
                      </c:pt>
                      <c:pt idx="173">
                        <c:v>66935.960000000006</c:v>
                      </c:pt>
                      <c:pt idx="174">
                        <c:v>70991.785000000003</c:v>
                      </c:pt>
                      <c:pt idx="175">
                        <c:v>70739.675000000003</c:v>
                      </c:pt>
                      <c:pt idx="176">
                        <c:v>69906.240000000005</c:v>
                      </c:pt>
                      <c:pt idx="177">
                        <c:v>64278.445</c:v>
                      </c:pt>
                      <c:pt idx="178">
                        <c:v>60505.66</c:v>
                      </c:pt>
                      <c:pt idx="179">
                        <c:v>61485.9</c:v>
                      </c:pt>
                      <c:pt idx="180">
                        <c:v>59389.915000000001</c:v>
                      </c:pt>
                      <c:pt idx="181">
                        <c:v>57252.69</c:v>
                      </c:pt>
                      <c:pt idx="182">
                        <c:v>57088.574999999997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B5-4356-9520-D2260B642954}"/>
                  </c:ext>
                </c:extLst>
              </c15:ser>
            </c15:filteredLineSeries>
          </c:ext>
        </c:extLst>
      </c:lineChart>
      <c:dateAx>
        <c:axId val="95122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57024"/>
        <c:crosses val="autoZero"/>
        <c:auto val="1"/>
        <c:lblOffset val="100"/>
        <c:baseTimeUnit val="days"/>
      </c:dateAx>
      <c:valAx>
        <c:axId val="9574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VTN Farmer</a:t>
            </a:r>
            <a:r>
              <a:rPr lang="en-US" baseline="0">
                <a:solidFill>
                  <a:schemeClr val="bg1"/>
                </a:solidFill>
              </a:rPr>
              <a:t> price 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HISTORICAL!$G$1</c:f>
              <c:strCache>
                <c:ptCount val="1"/>
                <c:pt idx="0">
                  <c:v>Farmer's Price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98"/>
              <c:layout>
                <c:manualLayout>
                  <c:x val="-6.7687125588931293E-2"/>
                  <c:y val="1.7225232116784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DA-4459-BEB6-286FE440D8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HISTORICAL!$A$2:$A$200</c:f>
              <c:numCache>
                <c:formatCode>m/d/yyyy</c:formatCode>
                <c:ptCount val="199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</c:numCache>
            </c:numRef>
          </c:cat>
          <c:val>
            <c:numRef>
              <c:f>HISTORICAL!$G$2:$G$200</c:f>
              <c:numCache>
                <c:formatCode>#,##0</c:formatCode>
                <c:ptCount val="199"/>
                <c:pt idx="0">
                  <c:v>80671.607999999993</c:v>
                </c:pt>
                <c:pt idx="1">
                  <c:v>91431.648000000001</c:v>
                </c:pt>
                <c:pt idx="2">
                  <c:v>92889.732000000004</c:v>
                </c:pt>
                <c:pt idx="3">
                  <c:v>93862.126999999993</c:v>
                </c:pt>
                <c:pt idx="4">
                  <c:v>90965</c:v>
                </c:pt>
                <c:pt idx="5">
                  <c:v>93138.229000000007</c:v>
                </c:pt>
                <c:pt idx="6">
                  <c:v>96529.804000000004</c:v>
                </c:pt>
                <c:pt idx="7">
                  <c:v>92392.08</c:v>
                </c:pt>
                <c:pt idx="8">
                  <c:v>97654.62</c:v>
                </c:pt>
                <c:pt idx="9">
                  <c:v>101681.704</c:v>
                </c:pt>
                <c:pt idx="10">
                  <c:v>99430.98</c:v>
                </c:pt>
                <c:pt idx="11">
                  <c:v>103283.258</c:v>
                </c:pt>
                <c:pt idx="12">
                  <c:v>102777.16899999999</c:v>
                </c:pt>
                <c:pt idx="13">
                  <c:v>101519.412</c:v>
                </c:pt>
                <c:pt idx="14">
                  <c:v>104137.717</c:v>
                </c:pt>
                <c:pt idx="15">
                  <c:v>110496.87</c:v>
                </c:pt>
                <c:pt idx="16">
                  <c:v>103904.605</c:v>
                </c:pt>
                <c:pt idx="17">
                  <c:v>101891.68</c:v>
                </c:pt>
                <c:pt idx="18">
                  <c:v>100850.53</c:v>
                </c:pt>
                <c:pt idx="19">
                  <c:v>95428.125</c:v>
                </c:pt>
                <c:pt idx="20">
                  <c:v>92488</c:v>
                </c:pt>
                <c:pt idx="21">
                  <c:v>96484.79</c:v>
                </c:pt>
                <c:pt idx="22">
                  <c:v>96151.15</c:v>
                </c:pt>
                <c:pt idx="23">
                  <c:v>99478.26</c:v>
                </c:pt>
                <c:pt idx="24">
                  <c:v>96410.16</c:v>
                </c:pt>
                <c:pt idx="25">
                  <c:v>95167.904999999999</c:v>
                </c:pt>
                <c:pt idx="26">
                  <c:v>97997.737999999998</c:v>
                </c:pt>
                <c:pt idx="27">
                  <c:v>94266.368000000002</c:v>
                </c:pt>
                <c:pt idx="28">
                  <c:v>89198.48</c:v>
                </c:pt>
                <c:pt idx="29">
                  <c:v>91979.76</c:v>
                </c:pt>
                <c:pt idx="30">
                  <c:v>96749.856</c:v>
                </c:pt>
                <c:pt idx="31">
                  <c:v>100792.94500000001</c:v>
                </c:pt>
                <c:pt idx="32">
                  <c:v>97505.37</c:v>
                </c:pt>
                <c:pt idx="33">
                  <c:v>102769.41</c:v>
                </c:pt>
                <c:pt idx="34">
                  <c:v>98107.07</c:v>
                </c:pt>
                <c:pt idx="35">
                  <c:v>97200</c:v>
                </c:pt>
                <c:pt idx="36">
                  <c:v>100401.25</c:v>
                </c:pt>
                <c:pt idx="37">
                  <c:v>99622.05</c:v>
                </c:pt>
                <c:pt idx="38">
                  <c:v>107588.7</c:v>
                </c:pt>
                <c:pt idx="39">
                  <c:v>107064.292</c:v>
                </c:pt>
                <c:pt idx="40">
                  <c:v>105785.59</c:v>
                </c:pt>
                <c:pt idx="41">
                  <c:v>104342.94</c:v>
                </c:pt>
                <c:pt idx="42">
                  <c:v>104627.80499999999</c:v>
                </c:pt>
                <c:pt idx="43">
                  <c:v>101786.42</c:v>
                </c:pt>
                <c:pt idx="44">
                  <c:v>97438.494999999995</c:v>
                </c:pt>
                <c:pt idx="45">
                  <c:v>108803.1</c:v>
                </c:pt>
                <c:pt idx="46">
                  <c:v>112787.88</c:v>
                </c:pt>
                <c:pt idx="47">
                  <c:v>118911.348</c:v>
                </c:pt>
                <c:pt idx="48">
                  <c:v>125264.86599999999</c:v>
                </c:pt>
                <c:pt idx="49">
                  <c:v>117600.05</c:v>
                </c:pt>
                <c:pt idx="50">
                  <c:v>122225.25</c:v>
                </c:pt>
                <c:pt idx="51">
                  <c:v>125285.715</c:v>
                </c:pt>
                <c:pt idx="52">
                  <c:v>122113.992</c:v>
                </c:pt>
                <c:pt idx="53">
                  <c:v>122183.64</c:v>
                </c:pt>
                <c:pt idx="54">
                  <c:v>121507.75199999999</c:v>
                </c:pt>
                <c:pt idx="55">
                  <c:v>119164.395</c:v>
                </c:pt>
                <c:pt idx="56">
                  <c:v>112167.76</c:v>
                </c:pt>
                <c:pt idx="57">
                  <c:v>124843.63499999999</c:v>
                </c:pt>
                <c:pt idx="58">
                  <c:v>130318.875</c:v>
                </c:pt>
                <c:pt idx="59">
                  <c:v>128742.24</c:v>
                </c:pt>
                <c:pt idx="60">
                  <c:v>141764.07999999999</c:v>
                </c:pt>
                <c:pt idx="61">
                  <c:v>133081.20000000001</c:v>
                </c:pt>
                <c:pt idx="62">
                  <c:v>117300.56</c:v>
                </c:pt>
                <c:pt idx="63">
                  <c:v>102062.43</c:v>
                </c:pt>
                <c:pt idx="64">
                  <c:v>96169.187000000005</c:v>
                </c:pt>
                <c:pt idx="65">
                  <c:v>95797.59</c:v>
                </c:pt>
                <c:pt idx="66">
                  <c:v>93615.57</c:v>
                </c:pt>
                <c:pt idx="67">
                  <c:v>92440.02</c:v>
                </c:pt>
                <c:pt idx="68">
                  <c:v>99386.475000000006</c:v>
                </c:pt>
                <c:pt idx="69">
                  <c:v>100093.5</c:v>
                </c:pt>
                <c:pt idx="70">
                  <c:v>104152.401</c:v>
                </c:pt>
                <c:pt idx="71">
                  <c:v>114852.28</c:v>
                </c:pt>
                <c:pt idx="72">
                  <c:v>118424.52</c:v>
                </c:pt>
                <c:pt idx="73">
                  <c:v>120304.2</c:v>
                </c:pt>
                <c:pt idx="74">
                  <c:v>127850.31</c:v>
                </c:pt>
                <c:pt idx="75">
                  <c:v>130921.92</c:v>
                </c:pt>
                <c:pt idx="76">
                  <c:v>138977.48800000001</c:v>
                </c:pt>
                <c:pt idx="77">
                  <c:v>143383.62</c:v>
                </c:pt>
                <c:pt idx="78">
                  <c:v>145667.522</c:v>
                </c:pt>
                <c:pt idx="79">
                  <c:v>139700.65900000001</c:v>
                </c:pt>
                <c:pt idx="80">
                  <c:v>128854.44</c:v>
                </c:pt>
                <c:pt idx="81">
                  <c:v>141277.62</c:v>
                </c:pt>
                <c:pt idx="82">
                  <c:v>139327.56</c:v>
                </c:pt>
                <c:pt idx="83">
                  <c:v>140931.76500000001</c:v>
                </c:pt>
                <c:pt idx="84">
                  <c:v>139889.12</c:v>
                </c:pt>
                <c:pt idx="85">
                  <c:v>137032.845</c:v>
                </c:pt>
                <c:pt idx="86">
                  <c:v>135919.51999999999</c:v>
                </c:pt>
                <c:pt idx="87">
                  <c:v>141397.5</c:v>
                </c:pt>
                <c:pt idx="88">
                  <c:v>147501.12</c:v>
                </c:pt>
                <c:pt idx="89">
                  <c:v>142870.56</c:v>
                </c:pt>
                <c:pt idx="90">
                  <c:v>143318.14000000001</c:v>
                </c:pt>
                <c:pt idx="91">
                  <c:v>137739.35999999999</c:v>
                </c:pt>
                <c:pt idx="92">
                  <c:v>124287.63</c:v>
                </c:pt>
                <c:pt idx="93">
                  <c:v>126849.625</c:v>
                </c:pt>
                <c:pt idx="94">
                  <c:v>129947.7</c:v>
                </c:pt>
                <c:pt idx="95">
                  <c:v>130074.3</c:v>
                </c:pt>
                <c:pt idx="96">
                  <c:v>130202.2</c:v>
                </c:pt>
                <c:pt idx="97">
                  <c:v>132607.46799999999</c:v>
                </c:pt>
                <c:pt idx="98">
                  <c:v>124945.74</c:v>
                </c:pt>
                <c:pt idx="99">
                  <c:v>141954.084</c:v>
                </c:pt>
                <c:pt idx="100">
                  <c:v>126490.455</c:v>
                </c:pt>
                <c:pt idx="101">
                  <c:v>126112.13</c:v>
                </c:pt>
                <c:pt idx="102">
                  <c:v>119297.1</c:v>
                </c:pt>
                <c:pt idx="103">
                  <c:v>119754.53</c:v>
                </c:pt>
                <c:pt idx="104">
                  <c:v>118217.94500000001</c:v>
                </c:pt>
                <c:pt idx="105">
                  <c:v>121569.04</c:v>
                </c:pt>
                <c:pt idx="106">
                  <c:v>123454.76</c:v>
                </c:pt>
                <c:pt idx="107">
                  <c:v>122240.3</c:v>
                </c:pt>
                <c:pt idx="108">
                  <c:v>134447.13</c:v>
                </c:pt>
                <c:pt idx="109">
                  <c:v>135549.67000000001</c:v>
                </c:pt>
                <c:pt idx="110">
                  <c:v>137546.27499999999</c:v>
                </c:pt>
                <c:pt idx="111">
                  <c:v>135545.13</c:v>
                </c:pt>
                <c:pt idx="112">
                  <c:v>139794.26999999999</c:v>
                </c:pt>
                <c:pt idx="113">
                  <c:v>133885.44</c:v>
                </c:pt>
                <c:pt idx="114">
                  <c:v>132063.6</c:v>
                </c:pt>
                <c:pt idx="115">
                  <c:v>127509.855</c:v>
                </c:pt>
                <c:pt idx="116">
                  <c:v>123629.145</c:v>
                </c:pt>
                <c:pt idx="117">
                  <c:v>131861.27499999999</c:v>
                </c:pt>
                <c:pt idx="118">
                  <c:v>135383.19</c:v>
                </c:pt>
                <c:pt idx="119">
                  <c:v>135894.005</c:v>
                </c:pt>
                <c:pt idx="120">
                  <c:v>124908.6</c:v>
                </c:pt>
                <c:pt idx="121">
                  <c:v>123889.485</c:v>
                </c:pt>
                <c:pt idx="122">
                  <c:v>128420.7</c:v>
                </c:pt>
                <c:pt idx="123">
                  <c:v>127505.655</c:v>
                </c:pt>
                <c:pt idx="124">
                  <c:v>132539.88</c:v>
                </c:pt>
                <c:pt idx="125">
                  <c:v>128547.95</c:v>
                </c:pt>
                <c:pt idx="126">
                  <c:v>121971.041</c:v>
                </c:pt>
                <c:pt idx="127">
                  <c:v>111642.09</c:v>
                </c:pt>
                <c:pt idx="128">
                  <c:v>110962</c:v>
                </c:pt>
                <c:pt idx="129">
                  <c:v>115016.7</c:v>
                </c:pt>
                <c:pt idx="130">
                  <c:v>129386.4</c:v>
                </c:pt>
                <c:pt idx="131">
                  <c:v>123494.8</c:v>
                </c:pt>
                <c:pt idx="132">
                  <c:v>113908.8</c:v>
                </c:pt>
                <c:pt idx="133">
                  <c:v>111409.58</c:v>
                </c:pt>
                <c:pt idx="134">
                  <c:v>102779.34</c:v>
                </c:pt>
                <c:pt idx="135">
                  <c:v>101742.425</c:v>
                </c:pt>
                <c:pt idx="136">
                  <c:v>96957.63</c:v>
                </c:pt>
                <c:pt idx="137">
                  <c:v>98744.68</c:v>
                </c:pt>
                <c:pt idx="138">
                  <c:v>90305.600000000006</c:v>
                </c:pt>
                <c:pt idx="139">
                  <c:v>86138.77</c:v>
                </c:pt>
                <c:pt idx="140">
                  <c:v>85037.1</c:v>
                </c:pt>
                <c:pt idx="141">
                  <c:v>82935.600000000006</c:v>
                </c:pt>
                <c:pt idx="142">
                  <c:v>82984.399999999994</c:v>
                </c:pt>
                <c:pt idx="143">
                  <c:v>85403.955000000002</c:v>
                </c:pt>
                <c:pt idx="144">
                  <c:v>80581.235000000001</c:v>
                </c:pt>
                <c:pt idx="145">
                  <c:v>78026.3</c:v>
                </c:pt>
                <c:pt idx="146">
                  <c:v>72738.960000000006</c:v>
                </c:pt>
                <c:pt idx="147">
                  <c:v>76728.009999999995</c:v>
                </c:pt>
                <c:pt idx="148">
                  <c:v>77678.080000000002</c:v>
                </c:pt>
                <c:pt idx="149">
                  <c:v>72662.264999999999</c:v>
                </c:pt>
                <c:pt idx="150">
                  <c:v>65809.524999999994</c:v>
                </c:pt>
                <c:pt idx="151">
                  <c:v>65863</c:v>
                </c:pt>
                <c:pt idx="152">
                  <c:v>65229.84</c:v>
                </c:pt>
                <c:pt idx="153">
                  <c:v>67666.368000000002</c:v>
                </c:pt>
                <c:pt idx="154">
                  <c:v>65718</c:v>
                </c:pt>
                <c:pt idx="155">
                  <c:v>63832.86</c:v>
                </c:pt>
                <c:pt idx="156">
                  <c:v>67622.5</c:v>
                </c:pt>
                <c:pt idx="157">
                  <c:v>67070.600000000006</c:v>
                </c:pt>
                <c:pt idx="158">
                  <c:v>63653.175000000003</c:v>
                </c:pt>
                <c:pt idx="159">
                  <c:v>64655.76</c:v>
                </c:pt>
                <c:pt idx="160">
                  <c:v>66863.67</c:v>
                </c:pt>
                <c:pt idx="161">
                  <c:v>67679.039999999994</c:v>
                </c:pt>
                <c:pt idx="162">
                  <c:v>68179.3</c:v>
                </c:pt>
                <c:pt idx="163">
                  <c:v>65611.62</c:v>
                </c:pt>
                <c:pt idx="164">
                  <c:v>67584.539999999994</c:v>
                </c:pt>
                <c:pt idx="165">
                  <c:v>65410.37</c:v>
                </c:pt>
                <c:pt idx="166">
                  <c:v>65134.35</c:v>
                </c:pt>
                <c:pt idx="167">
                  <c:v>68228.759999999995</c:v>
                </c:pt>
                <c:pt idx="168">
                  <c:v>67830</c:v>
                </c:pt>
                <c:pt idx="169">
                  <c:v>67173.578999999998</c:v>
                </c:pt>
                <c:pt idx="170">
                  <c:v>67535.831999999995</c:v>
                </c:pt>
                <c:pt idx="171">
                  <c:v>67326.925000000003</c:v>
                </c:pt>
                <c:pt idx="172">
                  <c:v>66388</c:v>
                </c:pt>
                <c:pt idx="173">
                  <c:v>66935.960000000006</c:v>
                </c:pt>
                <c:pt idx="174">
                  <c:v>70991.785000000003</c:v>
                </c:pt>
                <c:pt idx="175">
                  <c:v>70739.675000000003</c:v>
                </c:pt>
                <c:pt idx="176">
                  <c:v>69906.240000000005</c:v>
                </c:pt>
                <c:pt idx="177">
                  <c:v>64278.445</c:v>
                </c:pt>
                <c:pt idx="178">
                  <c:v>60505.66</c:v>
                </c:pt>
                <c:pt idx="179">
                  <c:v>61485.9</c:v>
                </c:pt>
                <c:pt idx="180">
                  <c:v>59389.915000000001</c:v>
                </c:pt>
                <c:pt idx="181">
                  <c:v>57252.69</c:v>
                </c:pt>
                <c:pt idx="182">
                  <c:v>57088.574999999997</c:v>
                </c:pt>
                <c:pt idx="183">
                  <c:v>56465.152000000002</c:v>
                </c:pt>
                <c:pt idx="184">
                  <c:v>56537.279999999999</c:v>
                </c:pt>
                <c:pt idx="185">
                  <c:v>53608.985999999997</c:v>
                </c:pt>
                <c:pt idx="186">
                  <c:v>51657.47</c:v>
                </c:pt>
                <c:pt idx="187">
                  <c:v>50597.46</c:v>
                </c:pt>
                <c:pt idx="188">
                  <c:v>49570.239999999998</c:v>
                </c:pt>
                <c:pt idx="189">
                  <c:v>51338.239999999998</c:v>
                </c:pt>
                <c:pt idx="190">
                  <c:v>51429</c:v>
                </c:pt>
                <c:pt idx="191">
                  <c:v>50511.614999999998</c:v>
                </c:pt>
                <c:pt idx="192">
                  <c:v>48117.760000000002</c:v>
                </c:pt>
                <c:pt idx="193">
                  <c:v>46931.519999999997</c:v>
                </c:pt>
                <c:pt idx="194">
                  <c:v>47695.266000000003</c:v>
                </c:pt>
                <c:pt idx="195">
                  <c:v>45754.879999999997</c:v>
                </c:pt>
                <c:pt idx="196">
                  <c:v>44957.919999999998</c:v>
                </c:pt>
                <c:pt idx="197">
                  <c:v>44086.877999999997</c:v>
                </c:pt>
                <c:pt idx="198">
                  <c:v>43006.2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4-4DA7-A5E6-9256AAE1C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228144"/>
        <c:axId val="957457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HISTORICAL!$B$1</c15:sqref>
                        </c15:formulaRef>
                      </c:ext>
                    </c:extLst>
                    <c:strCache>
                      <c:ptCount val="1"/>
                      <c:pt idx="0">
                        <c:v>Diff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HISTORICAL!$A$2:$A$200</c15:sqref>
                        </c15:formulaRef>
                      </c:ext>
                    </c:extLst>
                    <c:numCache>
                      <c:formatCode>m/d/yyyy</c:formatCode>
                      <c:ptCount val="199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HISTORICAL!$B$2:$B$395</c15:sqref>
                        </c15:formulaRef>
                      </c:ext>
                    </c:extLst>
                    <c:numCache>
                      <c:formatCode>General</c:formatCode>
                      <c:ptCount val="394"/>
                      <c:pt idx="0">
                        <c:v>-150</c:v>
                      </c:pt>
                      <c:pt idx="1">
                        <c:v>200</c:v>
                      </c:pt>
                      <c:pt idx="2">
                        <c:v>220</c:v>
                      </c:pt>
                      <c:pt idx="3">
                        <c:v>240</c:v>
                      </c:pt>
                      <c:pt idx="4">
                        <c:v>240</c:v>
                      </c:pt>
                      <c:pt idx="5">
                        <c:v>220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220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180</c:v>
                      </c:pt>
                      <c:pt idx="12">
                        <c:v>180</c:v>
                      </c:pt>
                      <c:pt idx="13">
                        <c:v>180</c:v>
                      </c:pt>
                      <c:pt idx="14">
                        <c:v>200</c:v>
                      </c:pt>
                      <c:pt idx="15">
                        <c:v>190</c:v>
                      </c:pt>
                      <c:pt idx="16">
                        <c:v>200</c:v>
                      </c:pt>
                      <c:pt idx="17">
                        <c:v>240</c:v>
                      </c:pt>
                      <c:pt idx="18">
                        <c:v>240</c:v>
                      </c:pt>
                      <c:pt idx="19">
                        <c:v>260</c:v>
                      </c:pt>
                      <c:pt idx="20">
                        <c:v>280</c:v>
                      </c:pt>
                      <c:pt idx="21">
                        <c:v>280</c:v>
                      </c:pt>
                      <c:pt idx="22">
                        <c:v>280</c:v>
                      </c:pt>
                      <c:pt idx="23">
                        <c:v>250</c:v>
                      </c:pt>
                      <c:pt idx="24">
                        <c:v>280</c:v>
                      </c:pt>
                      <c:pt idx="25">
                        <c:v>280</c:v>
                      </c:pt>
                      <c:pt idx="26">
                        <c:v>250</c:v>
                      </c:pt>
                      <c:pt idx="27">
                        <c:v>220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180</c:v>
                      </c:pt>
                      <c:pt idx="31">
                        <c:v>200</c:v>
                      </c:pt>
                      <c:pt idx="32">
                        <c:v>200</c:v>
                      </c:pt>
                      <c:pt idx="33">
                        <c:v>200</c:v>
                      </c:pt>
                      <c:pt idx="34">
                        <c:v>160</c:v>
                      </c:pt>
                      <c:pt idx="35">
                        <c:v>160</c:v>
                      </c:pt>
                      <c:pt idx="36">
                        <c:v>140</c:v>
                      </c:pt>
                      <c:pt idx="37">
                        <c:v>120</c:v>
                      </c:pt>
                      <c:pt idx="38">
                        <c:v>80</c:v>
                      </c:pt>
                      <c:pt idx="39">
                        <c:v>80</c:v>
                      </c:pt>
                      <c:pt idx="40">
                        <c:v>60</c:v>
                      </c:pt>
                      <c:pt idx="41">
                        <c:v>80</c:v>
                      </c:pt>
                      <c:pt idx="42">
                        <c:v>60</c:v>
                      </c:pt>
                      <c:pt idx="43">
                        <c:v>40</c:v>
                      </c:pt>
                      <c:pt idx="44">
                        <c:v>60</c:v>
                      </c:pt>
                      <c:pt idx="45">
                        <c:v>60</c:v>
                      </c:pt>
                      <c:pt idx="46">
                        <c:v>80</c:v>
                      </c:pt>
                      <c:pt idx="47">
                        <c:v>150</c:v>
                      </c:pt>
                      <c:pt idx="48">
                        <c:v>150</c:v>
                      </c:pt>
                      <c:pt idx="49">
                        <c:v>150</c:v>
                      </c:pt>
                      <c:pt idx="50">
                        <c:v>150</c:v>
                      </c:pt>
                      <c:pt idx="51">
                        <c:v>150</c:v>
                      </c:pt>
                      <c:pt idx="52">
                        <c:v>150</c:v>
                      </c:pt>
                      <c:pt idx="53">
                        <c:v>150</c:v>
                      </c:pt>
                      <c:pt idx="54">
                        <c:v>170</c:v>
                      </c:pt>
                      <c:pt idx="55">
                        <c:v>220</c:v>
                      </c:pt>
                      <c:pt idx="56">
                        <c:v>200</c:v>
                      </c:pt>
                      <c:pt idx="57">
                        <c:v>320</c:v>
                      </c:pt>
                      <c:pt idx="58">
                        <c:v>450</c:v>
                      </c:pt>
                      <c:pt idx="59">
                        <c:v>500</c:v>
                      </c:pt>
                      <c:pt idx="60">
                        <c:v>600</c:v>
                      </c:pt>
                      <c:pt idx="61">
                        <c:v>550</c:v>
                      </c:pt>
                      <c:pt idx="62">
                        <c:v>550</c:v>
                      </c:pt>
                      <c:pt idx="63">
                        <c:v>550</c:v>
                      </c:pt>
                      <c:pt idx="64">
                        <c:v>370</c:v>
                      </c:pt>
                      <c:pt idx="65">
                        <c:v>350</c:v>
                      </c:pt>
                      <c:pt idx="66">
                        <c:v>300</c:v>
                      </c:pt>
                      <c:pt idx="67">
                        <c:v>250</c:v>
                      </c:pt>
                      <c:pt idx="68">
                        <c:v>200</c:v>
                      </c:pt>
                      <c:pt idx="69">
                        <c:v>200</c:v>
                      </c:pt>
                      <c:pt idx="70">
                        <c:v>130</c:v>
                      </c:pt>
                      <c:pt idx="71">
                        <c:v>130</c:v>
                      </c:pt>
                      <c:pt idx="72">
                        <c:v>130</c:v>
                      </c:pt>
                      <c:pt idx="73">
                        <c:v>100</c:v>
                      </c:pt>
                      <c:pt idx="74">
                        <c:v>50</c:v>
                      </c:pt>
                      <c:pt idx="75">
                        <c:v>110</c:v>
                      </c:pt>
                      <c:pt idx="76">
                        <c:v>130</c:v>
                      </c:pt>
                      <c:pt idx="77">
                        <c:v>180</c:v>
                      </c:pt>
                      <c:pt idx="78">
                        <c:v>200</c:v>
                      </c:pt>
                      <c:pt idx="79">
                        <c:v>160</c:v>
                      </c:pt>
                      <c:pt idx="80">
                        <c:v>140</c:v>
                      </c:pt>
                      <c:pt idx="81">
                        <c:v>120</c:v>
                      </c:pt>
                      <c:pt idx="82">
                        <c:v>120</c:v>
                      </c:pt>
                      <c:pt idx="83">
                        <c:v>50</c:v>
                      </c:pt>
                      <c:pt idx="84">
                        <c:v>-10</c:v>
                      </c:pt>
                      <c:pt idx="85">
                        <c:v>-20</c:v>
                      </c:pt>
                      <c:pt idx="86">
                        <c:v>-20</c:v>
                      </c:pt>
                      <c:pt idx="87">
                        <c:v>-80</c:v>
                      </c:pt>
                      <c:pt idx="88">
                        <c:v>40</c:v>
                      </c:pt>
                      <c:pt idx="89">
                        <c:v>40</c:v>
                      </c:pt>
                      <c:pt idx="90">
                        <c:v>40</c:v>
                      </c:pt>
                      <c:pt idx="91">
                        <c:v>40</c:v>
                      </c:pt>
                      <c:pt idx="92">
                        <c:v>40</c:v>
                      </c:pt>
                      <c:pt idx="93">
                        <c:v>50</c:v>
                      </c:pt>
                      <c:pt idx="94">
                        <c:v>80</c:v>
                      </c:pt>
                      <c:pt idx="95">
                        <c:v>100</c:v>
                      </c:pt>
                      <c:pt idx="96">
                        <c:v>100</c:v>
                      </c:pt>
                      <c:pt idx="97">
                        <c:v>100</c:v>
                      </c:pt>
                      <c:pt idx="98">
                        <c:v>80</c:v>
                      </c:pt>
                      <c:pt idx="99">
                        <c:v>100</c:v>
                      </c:pt>
                      <c:pt idx="100">
                        <c:v>220</c:v>
                      </c:pt>
                      <c:pt idx="101">
                        <c:v>220</c:v>
                      </c:pt>
                      <c:pt idx="102">
                        <c:v>250</c:v>
                      </c:pt>
                      <c:pt idx="103">
                        <c:v>400</c:v>
                      </c:pt>
                      <c:pt idx="104">
                        <c:v>350</c:v>
                      </c:pt>
                      <c:pt idx="105">
                        <c:v>260</c:v>
                      </c:pt>
                      <c:pt idx="106">
                        <c:v>260</c:v>
                      </c:pt>
                      <c:pt idx="107">
                        <c:v>250</c:v>
                      </c:pt>
                      <c:pt idx="108">
                        <c:v>250</c:v>
                      </c:pt>
                      <c:pt idx="109">
                        <c:v>300</c:v>
                      </c:pt>
                      <c:pt idx="110">
                        <c:v>550</c:v>
                      </c:pt>
                      <c:pt idx="111">
                        <c:v>600</c:v>
                      </c:pt>
                      <c:pt idx="112">
                        <c:v>750</c:v>
                      </c:pt>
                      <c:pt idx="113">
                        <c:v>820</c:v>
                      </c:pt>
                      <c:pt idx="114">
                        <c:v>850</c:v>
                      </c:pt>
                      <c:pt idx="115">
                        <c:v>850</c:v>
                      </c:pt>
                      <c:pt idx="116">
                        <c:v>850</c:v>
                      </c:pt>
                      <c:pt idx="117">
                        <c:v>850</c:v>
                      </c:pt>
                      <c:pt idx="118">
                        <c:v>900</c:v>
                      </c:pt>
                      <c:pt idx="119">
                        <c:v>900</c:v>
                      </c:pt>
                      <c:pt idx="120">
                        <c:v>880</c:v>
                      </c:pt>
                      <c:pt idx="121">
                        <c:v>850</c:v>
                      </c:pt>
                      <c:pt idx="122">
                        <c:v>900</c:v>
                      </c:pt>
                      <c:pt idx="123">
                        <c:v>950</c:v>
                      </c:pt>
                      <c:pt idx="124">
                        <c:v>950</c:v>
                      </c:pt>
                      <c:pt idx="125">
                        <c:v>950</c:v>
                      </c:pt>
                      <c:pt idx="126">
                        <c:v>1000</c:v>
                      </c:pt>
                      <c:pt idx="127">
                        <c:v>1000</c:v>
                      </c:pt>
                      <c:pt idx="128">
                        <c:v>950</c:v>
                      </c:pt>
                      <c:pt idx="129">
                        <c:v>880</c:v>
                      </c:pt>
                      <c:pt idx="130">
                        <c:v>830</c:v>
                      </c:pt>
                      <c:pt idx="131">
                        <c:v>830</c:v>
                      </c:pt>
                      <c:pt idx="132">
                        <c:v>800</c:v>
                      </c:pt>
                      <c:pt idx="133">
                        <c:v>800</c:v>
                      </c:pt>
                      <c:pt idx="134">
                        <c:v>780</c:v>
                      </c:pt>
                      <c:pt idx="135">
                        <c:v>750</c:v>
                      </c:pt>
                      <c:pt idx="136">
                        <c:v>680</c:v>
                      </c:pt>
                      <c:pt idx="137">
                        <c:v>650</c:v>
                      </c:pt>
                      <c:pt idx="138">
                        <c:v>600</c:v>
                      </c:pt>
                      <c:pt idx="139">
                        <c:v>420</c:v>
                      </c:pt>
                      <c:pt idx="140">
                        <c:v>400</c:v>
                      </c:pt>
                      <c:pt idx="141">
                        <c:v>320</c:v>
                      </c:pt>
                      <c:pt idx="142">
                        <c:v>280</c:v>
                      </c:pt>
                      <c:pt idx="143">
                        <c:v>250</c:v>
                      </c:pt>
                      <c:pt idx="144">
                        <c:v>250</c:v>
                      </c:pt>
                      <c:pt idx="145">
                        <c:v>280</c:v>
                      </c:pt>
                      <c:pt idx="146">
                        <c:v>230</c:v>
                      </c:pt>
                      <c:pt idx="147">
                        <c:v>260</c:v>
                      </c:pt>
                      <c:pt idx="148">
                        <c:v>260</c:v>
                      </c:pt>
                      <c:pt idx="149">
                        <c:v>230</c:v>
                      </c:pt>
                      <c:pt idx="150">
                        <c:v>200</c:v>
                      </c:pt>
                      <c:pt idx="151">
                        <c:v>200</c:v>
                      </c:pt>
                      <c:pt idx="152">
                        <c:v>230</c:v>
                      </c:pt>
                      <c:pt idx="153">
                        <c:v>250</c:v>
                      </c:pt>
                      <c:pt idx="154">
                        <c:v>300</c:v>
                      </c:pt>
                      <c:pt idx="155">
                        <c:v>300</c:v>
                      </c:pt>
                      <c:pt idx="156">
                        <c:v>360</c:v>
                      </c:pt>
                      <c:pt idx="157">
                        <c:v>360</c:v>
                      </c:pt>
                      <c:pt idx="158">
                        <c:v>380</c:v>
                      </c:pt>
                      <c:pt idx="159">
                        <c:v>380</c:v>
                      </c:pt>
                      <c:pt idx="160">
                        <c:v>400</c:v>
                      </c:pt>
                      <c:pt idx="161">
                        <c:v>350</c:v>
                      </c:pt>
                      <c:pt idx="162">
                        <c:v>350</c:v>
                      </c:pt>
                      <c:pt idx="163">
                        <c:v>350</c:v>
                      </c:pt>
                      <c:pt idx="164">
                        <c:v>350</c:v>
                      </c:pt>
                      <c:pt idx="165">
                        <c:v>350</c:v>
                      </c:pt>
                      <c:pt idx="166">
                        <c:v>370</c:v>
                      </c:pt>
                      <c:pt idx="167">
                        <c:v>370</c:v>
                      </c:pt>
                      <c:pt idx="168">
                        <c:v>370</c:v>
                      </c:pt>
                      <c:pt idx="169">
                        <c:v>370</c:v>
                      </c:pt>
                      <c:pt idx="170">
                        <c:v>350</c:v>
                      </c:pt>
                      <c:pt idx="171">
                        <c:v>350</c:v>
                      </c:pt>
                      <c:pt idx="172">
                        <c:v>320</c:v>
                      </c:pt>
                      <c:pt idx="173">
                        <c:v>300</c:v>
                      </c:pt>
                      <c:pt idx="174">
                        <c:v>300</c:v>
                      </c:pt>
                      <c:pt idx="175">
                        <c:v>280</c:v>
                      </c:pt>
                      <c:pt idx="176">
                        <c:v>280</c:v>
                      </c:pt>
                      <c:pt idx="177">
                        <c:v>200</c:v>
                      </c:pt>
                      <c:pt idx="178">
                        <c:v>100</c:v>
                      </c:pt>
                      <c:pt idx="179">
                        <c:v>70</c:v>
                      </c:pt>
                      <c:pt idx="180">
                        <c:v>80</c:v>
                      </c:pt>
                      <c:pt idx="181">
                        <c:v>60</c:v>
                      </c:pt>
                      <c:pt idx="182">
                        <c:v>60</c:v>
                      </c:pt>
                      <c:pt idx="183">
                        <c:v>60</c:v>
                      </c:pt>
                      <c:pt idx="184">
                        <c:v>60</c:v>
                      </c:pt>
                      <c:pt idx="185">
                        <c:v>60</c:v>
                      </c:pt>
                      <c:pt idx="186">
                        <c:v>60</c:v>
                      </c:pt>
                      <c:pt idx="187">
                        <c:v>60</c:v>
                      </c:pt>
                      <c:pt idx="188">
                        <c:v>30</c:v>
                      </c:pt>
                      <c:pt idx="189">
                        <c:v>30</c:v>
                      </c:pt>
                      <c:pt idx="190">
                        <c:v>20</c:v>
                      </c:pt>
                      <c:pt idx="191">
                        <c:v>-10</c:v>
                      </c:pt>
                      <c:pt idx="192">
                        <c:v>-10</c:v>
                      </c:pt>
                      <c:pt idx="193">
                        <c:v>-10</c:v>
                      </c:pt>
                      <c:pt idx="194">
                        <c:v>20</c:v>
                      </c:pt>
                      <c:pt idx="195">
                        <c:v>20</c:v>
                      </c:pt>
                      <c:pt idx="196">
                        <c:v>30</c:v>
                      </c:pt>
                      <c:pt idx="197">
                        <c:v>30</c:v>
                      </c:pt>
                      <c:pt idx="198">
                        <c:v>30</c:v>
                      </c:pt>
                      <c:pt idx="199">
                        <c:v>40</c:v>
                      </c:pt>
                      <c:pt idx="200">
                        <c:v>40</c:v>
                      </c:pt>
                      <c:pt idx="201">
                        <c:v>40</c:v>
                      </c:pt>
                      <c:pt idx="202">
                        <c:v>0</c:v>
                      </c:pt>
                      <c:pt idx="203">
                        <c:v>-30</c:v>
                      </c:pt>
                      <c:pt idx="204">
                        <c:v>-30</c:v>
                      </c:pt>
                      <c:pt idx="205">
                        <c:v>-30</c:v>
                      </c:pt>
                      <c:pt idx="206">
                        <c:v>-30</c:v>
                      </c:pt>
                      <c:pt idx="207">
                        <c:v>-30</c:v>
                      </c:pt>
                      <c:pt idx="208">
                        <c:v>-20</c:v>
                      </c:pt>
                      <c:pt idx="209">
                        <c:v>-10</c:v>
                      </c:pt>
                      <c:pt idx="210">
                        <c:v>-10</c:v>
                      </c:pt>
                      <c:pt idx="211">
                        <c:v>-10</c:v>
                      </c:pt>
                      <c:pt idx="212">
                        <c:v>-10</c:v>
                      </c:pt>
                      <c:pt idx="213">
                        <c:v>-10</c:v>
                      </c:pt>
                      <c:pt idx="214">
                        <c:v>-10</c:v>
                      </c:pt>
                      <c:pt idx="215">
                        <c:v>-10</c:v>
                      </c:pt>
                      <c:pt idx="216">
                        <c:v>50</c:v>
                      </c:pt>
                      <c:pt idx="217">
                        <c:v>90</c:v>
                      </c:pt>
                      <c:pt idx="218">
                        <c:v>90</c:v>
                      </c:pt>
                      <c:pt idx="219">
                        <c:v>110</c:v>
                      </c:pt>
                      <c:pt idx="220">
                        <c:v>100</c:v>
                      </c:pt>
                      <c:pt idx="221">
                        <c:v>90</c:v>
                      </c:pt>
                      <c:pt idx="222">
                        <c:v>60</c:v>
                      </c:pt>
                      <c:pt idx="223">
                        <c:v>60</c:v>
                      </c:pt>
                      <c:pt idx="224">
                        <c:v>10</c:v>
                      </c:pt>
                      <c:pt idx="225">
                        <c:v>-30</c:v>
                      </c:pt>
                      <c:pt idx="226">
                        <c:v>-60</c:v>
                      </c:pt>
                      <c:pt idx="227">
                        <c:v>-60</c:v>
                      </c:pt>
                      <c:pt idx="228">
                        <c:v>-100</c:v>
                      </c:pt>
                      <c:pt idx="229">
                        <c:v>-100</c:v>
                      </c:pt>
                      <c:pt idx="230">
                        <c:v>-90</c:v>
                      </c:pt>
                      <c:pt idx="231">
                        <c:v>-100</c:v>
                      </c:pt>
                      <c:pt idx="232">
                        <c:v>-120</c:v>
                      </c:pt>
                      <c:pt idx="233">
                        <c:v>-120</c:v>
                      </c:pt>
                      <c:pt idx="234">
                        <c:v>-110</c:v>
                      </c:pt>
                      <c:pt idx="235">
                        <c:v>-120</c:v>
                      </c:pt>
                      <c:pt idx="236">
                        <c:v>-130</c:v>
                      </c:pt>
                      <c:pt idx="237">
                        <c:v>-130</c:v>
                      </c:pt>
                      <c:pt idx="238">
                        <c:v>-130</c:v>
                      </c:pt>
                      <c:pt idx="239">
                        <c:v>-150</c:v>
                      </c:pt>
                      <c:pt idx="240">
                        <c:v>-150</c:v>
                      </c:pt>
                      <c:pt idx="241">
                        <c:v>-150</c:v>
                      </c:pt>
                      <c:pt idx="242">
                        <c:v>-200</c:v>
                      </c:pt>
                      <c:pt idx="243">
                        <c:v>-200</c:v>
                      </c:pt>
                      <c:pt idx="244">
                        <c:v>-210</c:v>
                      </c:pt>
                      <c:pt idx="245">
                        <c:v>-200</c:v>
                      </c:pt>
                      <c:pt idx="246">
                        <c:v>-200</c:v>
                      </c:pt>
                      <c:pt idx="247">
                        <c:v>-220</c:v>
                      </c:pt>
                      <c:pt idx="248">
                        <c:v>-250</c:v>
                      </c:pt>
                      <c:pt idx="249">
                        <c:v>-280</c:v>
                      </c:pt>
                      <c:pt idx="250">
                        <c:v>-280</c:v>
                      </c:pt>
                      <c:pt idx="251">
                        <c:v>-150</c:v>
                      </c:pt>
                      <c:pt idx="252">
                        <c:v>-150</c:v>
                      </c:pt>
                      <c:pt idx="253">
                        <c:v>-150</c:v>
                      </c:pt>
                      <c:pt idx="254">
                        <c:v>-100</c:v>
                      </c:pt>
                      <c:pt idx="255">
                        <c:v>-100</c:v>
                      </c:pt>
                      <c:pt idx="256">
                        <c:v>-100</c:v>
                      </c:pt>
                      <c:pt idx="257">
                        <c:v>-100</c:v>
                      </c:pt>
                      <c:pt idx="258">
                        <c:v>-120</c:v>
                      </c:pt>
                      <c:pt idx="259">
                        <c:v>-150</c:v>
                      </c:pt>
                      <c:pt idx="260">
                        <c:v>-170</c:v>
                      </c:pt>
                      <c:pt idx="261">
                        <c:v>-150</c:v>
                      </c:pt>
                      <c:pt idx="262">
                        <c:v>-130</c:v>
                      </c:pt>
                      <c:pt idx="263">
                        <c:v>-130</c:v>
                      </c:pt>
                      <c:pt idx="264">
                        <c:v>-120</c:v>
                      </c:pt>
                      <c:pt idx="265">
                        <c:v>-120</c:v>
                      </c:pt>
                      <c:pt idx="266">
                        <c:v>-120</c:v>
                      </c:pt>
                      <c:pt idx="267">
                        <c:v>-100</c:v>
                      </c:pt>
                      <c:pt idx="268">
                        <c:v>-90</c:v>
                      </c:pt>
                      <c:pt idx="269">
                        <c:v>-90</c:v>
                      </c:pt>
                      <c:pt idx="270">
                        <c:v>-20</c:v>
                      </c:pt>
                      <c:pt idx="271">
                        <c:v>-20</c:v>
                      </c:pt>
                      <c:pt idx="272">
                        <c:v>20</c:v>
                      </c:pt>
                      <c:pt idx="273">
                        <c:v>20</c:v>
                      </c:pt>
                      <c:pt idx="274">
                        <c:v>30</c:v>
                      </c:pt>
                      <c:pt idx="275">
                        <c:v>40</c:v>
                      </c:pt>
                      <c:pt idx="276">
                        <c:v>50</c:v>
                      </c:pt>
                      <c:pt idx="277">
                        <c:v>50</c:v>
                      </c:pt>
                      <c:pt idx="278">
                        <c:v>50</c:v>
                      </c:pt>
                      <c:pt idx="279">
                        <c:v>75</c:v>
                      </c:pt>
                      <c:pt idx="280">
                        <c:v>70</c:v>
                      </c:pt>
                      <c:pt idx="281">
                        <c:v>80</c:v>
                      </c:pt>
                      <c:pt idx="282">
                        <c:v>80</c:v>
                      </c:pt>
                      <c:pt idx="283">
                        <c:v>100</c:v>
                      </c:pt>
                      <c:pt idx="284">
                        <c:v>150</c:v>
                      </c:pt>
                      <c:pt idx="285">
                        <c:v>150</c:v>
                      </c:pt>
                      <c:pt idx="286">
                        <c:v>160</c:v>
                      </c:pt>
                      <c:pt idx="287">
                        <c:v>160</c:v>
                      </c:pt>
                      <c:pt idx="288">
                        <c:v>170</c:v>
                      </c:pt>
                      <c:pt idx="289">
                        <c:v>170</c:v>
                      </c:pt>
                      <c:pt idx="290">
                        <c:v>150</c:v>
                      </c:pt>
                      <c:pt idx="291">
                        <c:v>130</c:v>
                      </c:pt>
                      <c:pt idx="292">
                        <c:v>130</c:v>
                      </c:pt>
                      <c:pt idx="293">
                        <c:v>130</c:v>
                      </c:pt>
                      <c:pt idx="294">
                        <c:v>120</c:v>
                      </c:pt>
                      <c:pt idx="295">
                        <c:v>130</c:v>
                      </c:pt>
                      <c:pt idx="296">
                        <c:v>150</c:v>
                      </c:pt>
                      <c:pt idx="297">
                        <c:v>150</c:v>
                      </c:pt>
                      <c:pt idx="298">
                        <c:v>160</c:v>
                      </c:pt>
                      <c:pt idx="299">
                        <c:v>200</c:v>
                      </c:pt>
                      <c:pt idx="300">
                        <c:v>150</c:v>
                      </c:pt>
                      <c:pt idx="301">
                        <c:v>150</c:v>
                      </c:pt>
                      <c:pt idx="302">
                        <c:v>160</c:v>
                      </c:pt>
                      <c:pt idx="303">
                        <c:v>180</c:v>
                      </c:pt>
                      <c:pt idx="304">
                        <c:v>180</c:v>
                      </c:pt>
                      <c:pt idx="305">
                        <c:v>175</c:v>
                      </c:pt>
                      <c:pt idx="306">
                        <c:v>175</c:v>
                      </c:pt>
                      <c:pt idx="307">
                        <c:v>170</c:v>
                      </c:pt>
                      <c:pt idx="308">
                        <c:v>200</c:v>
                      </c:pt>
                      <c:pt idx="309">
                        <c:v>180</c:v>
                      </c:pt>
                      <c:pt idx="310">
                        <c:v>210</c:v>
                      </c:pt>
                      <c:pt idx="311">
                        <c:v>210</c:v>
                      </c:pt>
                      <c:pt idx="312">
                        <c:v>230</c:v>
                      </c:pt>
                      <c:pt idx="313">
                        <c:v>230</c:v>
                      </c:pt>
                      <c:pt idx="314">
                        <c:v>230</c:v>
                      </c:pt>
                      <c:pt idx="315">
                        <c:v>220</c:v>
                      </c:pt>
                      <c:pt idx="316">
                        <c:v>200</c:v>
                      </c:pt>
                      <c:pt idx="317">
                        <c:v>190</c:v>
                      </c:pt>
                      <c:pt idx="318">
                        <c:v>180</c:v>
                      </c:pt>
                      <c:pt idx="319">
                        <c:v>160</c:v>
                      </c:pt>
                      <c:pt idx="320">
                        <c:v>170</c:v>
                      </c:pt>
                      <c:pt idx="321">
                        <c:v>200</c:v>
                      </c:pt>
                      <c:pt idx="322">
                        <c:v>230</c:v>
                      </c:pt>
                      <c:pt idx="323">
                        <c:v>270</c:v>
                      </c:pt>
                      <c:pt idx="324">
                        <c:v>290</c:v>
                      </c:pt>
                      <c:pt idx="325">
                        <c:v>290</c:v>
                      </c:pt>
                      <c:pt idx="326">
                        <c:v>310</c:v>
                      </c:pt>
                      <c:pt idx="327">
                        <c:v>310</c:v>
                      </c:pt>
                      <c:pt idx="328">
                        <c:v>320</c:v>
                      </c:pt>
                      <c:pt idx="329">
                        <c:v>310</c:v>
                      </c:pt>
                      <c:pt idx="330">
                        <c:v>300</c:v>
                      </c:pt>
                      <c:pt idx="331">
                        <c:v>300</c:v>
                      </c:pt>
                      <c:pt idx="332">
                        <c:v>280</c:v>
                      </c:pt>
                      <c:pt idx="333">
                        <c:v>280</c:v>
                      </c:pt>
                      <c:pt idx="334">
                        <c:v>280</c:v>
                      </c:pt>
                      <c:pt idx="335">
                        <c:v>280</c:v>
                      </c:pt>
                      <c:pt idx="336">
                        <c:v>270</c:v>
                      </c:pt>
                      <c:pt idx="337">
                        <c:v>270</c:v>
                      </c:pt>
                      <c:pt idx="338">
                        <c:v>270</c:v>
                      </c:pt>
                      <c:pt idx="339">
                        <c:v>270</c:v>
                      </c:pt>
                      <c:pt idx="340">
                        <c:v>240</c:v>
                      </c:pt>
                      <c:pt idx="341">
                        <c:v>220</c:v>
                      </c:pt>
                      <c:pt idx="342">
                        <c:v>210</c:v>
                      </c:pt>
                      <c:pt idx="343">
                        <c:v>190</c:v>
                      </c:pt>
                      <c:pt idx="344">
                        <c:v>240</c:v>
                      </c:pt>
                      <c:pt idx="345">
                        <c:v>200</c:v>
                      </c:pt>
                      <c:pt idx="346">
                        <c:v>190</c:v>
                      </c:pt>
                      <c:pt idx="347">
                        <c:v>190</c:v>
                      </c:pt>
                      <c:pt idx="348">
                        <c:v>210</c:v>
                      </c:pt>
                      <c:pt idx="349">
                        <c:v>200</c:v>
                      </c:pt>
                      <c:pt idx="350">
                        <c:v>170</c:v>
                      </c:pt>
                      <c:pt idx="351">
                        <c:v>150</c:v>
                      </c:pt>
                      <c:pt idx="352">
                        <c:v>160</c:v>
                      </c:pt>
                      <c:pt idx="353">
                        <c:v>130</c:v>
                      </c:pt>
                      <c:pt idx="354">
                        <c:v>130</c:v>
                      </c:pt>
                      <c:pt idx="355">
                        <c:v>140</c:v>
                      </c:pt>
                      <c:pt idx="356">
                        <c:v>150</c:v>
                      </c:pt>
                      <c:pt idx="357">
                        <c:v>150</c:v>
                      </c:pt>
                      <c:pt idx="358">
                        <c:v>160</c:v>
                      </c:pt>
                      <c:pt idx="359">
                        <c:v>160</c:v>
                      </c:pt>
                      <c:pt idx="360">
                        <c:v>180</c:v>
                      </c:pt>
                      <c:pt idx="361">
                        <c:v>200</c:v>
                      </c:pt>
                      <c:pt idx="362">
                        <c:v>200</c:v>
                      </c:pt>
                      <c:pt idx="363">
                        <c:v>200</c:v>
                      </c:pt>
                      <c:pt idx="364">
                        <c:v>200</c:v>
                      </c:pt>
                      <c:pt idx="365">
                        <c:v>230</c:v>
                      </c:pt>
                      <c:pt idx="366">
                        <c:v>190</c:v>
                      </c:pt>
                      <c:pt idx="367">
                        <c:v>180</c:v>
                      </c:pt>
                      <c:pt idx="368">
                        <c:v>230</c:v>
                      </c:pt>
                      <c:pt idx="369">
                        <c:v>250</c:v>
                      </c:pt>
                      <c:pt idx="370">
                        <c:v>230</c:v>
                      </c:pt>
                      <c:pt idx="371">
                        <c:v>230</c:v>
                      </c:pt>
                      <c:pt idx="372">
                        <c:v>230</c:v>
                      </c:pt>
                      <c:pt idx="373">
                        <c:v>240</c:v>
                      </c:pt>
                      <c:pt idx="374">
                        <c:v>230</c:v>
                      </c:pt>
                      <c:pt idx="375">
                        <c:v>190</c:v>
                      </c:pt>
                      <c:pt idx="376">
                        <c:v>170</c:v>
                      </c:pt>
                      <c:pt idx="377">
                        <c:v>170</c:v>
                      </c:pt>
                      <c:pt idx="378">
                        <c:v>170</c:v>
                      </c:pt>
                      <c:pt idx="379">
                        <c:v>170</c:v>
                      </c:pt>
                      <c:pt idx="380">
                        <c:v>170</c:v>
                      </c:pt>
                      <c:pt idx="381">
                        <c:v>150</c:v>
                      </c:pt>
                      <c:pt idx="382">
                        <c:v>80</c:v>
                      </c:pt>
                      <c:pt idx="383">
                        <c:v>80</c:v>
                      </c:pt>
                      <c:pt idx="384">
                        <c:v>80</c:v>
                      </c:pt>
                      <c:pt idx="385">
                        <c:v>50</c:v>
                      </c:pt>
                      <c:pt idx="386">
                        <c:v>50</c:v>
                      </c:pt>
                      <c:pt idx="387">
                        <c:v>50</c:v>
                      </c:pt>
                      <c:pt idx="388">
                        <c:v>50</c:v>
                      </c:pt>
                      <c:pt idx="389">
                        <c:v>30</c:v>
                      </c:pt>
                      <c:pt idx="390">
                        <c:v>30</c:v>
                      </c:pt>
                      <c:pt idx="391">
                        <c:v>30</c:v>
                      </c:pt>
                      <c:pt idx="392">
                        <c:v>20</c:v>
                      </c:pt>
                      <c:pt idx="393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264-4DA7-A5E6-9256AAE1C46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HISTORICAL!$C$1</c15:sqref>
                        </c15:formulaRef>
                      </c:ext>
                    </c:extLst>
                    <c:strCache>
                      <c:ptCount val="1"/>
                      <c:pt idx="0">
                        <c:v>LRC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HISTORICAL!$A$2:$A$200</c15:sqref>
                        </c15:formulaRef>
                      </c:ext>
                    </c:extLst>
                    <c:numCache>
                      <c:formatCode>m/d/yyyy</c:formatCode>
                      <c:ptCount val="199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HISTORICAL!$C$2:$C$395</c15:sqref>
                        </c15:formulaRef>
                      </c:ext>
                    </c:extLst>
                    <c:numCache>
                      <c:formatCode>General</c:formatCode>
                      <c:ptCount val="394"/>
                      <c:pt idx="0">
                        <c:v>3301</c:v>
                      </c:pt>
                      <c:pt idx="1">
                        <c:v>3364</c:v>
                      </c:pt>
                      <c:pt idx="2">
                        <c:v>3398</c:v>
                      </c:pt>
                      <c:pt idx="3">
                        <c:v>3403</c:v>
                      </c:pt>
                      <c:pt idx="4">
                        <c:v>3290</c:v>
                      </c:pt>
                      <c:pt idx="5">
                        <c:v>3391</c:v>
                      </c:pt>
                      <c:pt idx="6">
                        <c:v>3554</c:v>
                      </c:pt>
                      <c:pt idx="7">
                        <c:v>3374</c:v>
                      </c:pt>
                      <c:pt idx="8">
                        <c:v>3555</c:v>
                      </c:pt>
                      <c:pt idx="9">
                        <c:v>3726</c:v>
                      </c:pt>
                      <c:pt idx="10">
                        <c:v>3644</c:v>
                      </c:pt>
                      <c:pt idx="11">
                        <c:v>3787</c:v>
                      </c:pt>
                      <c:pt idx="12">
                        <c:v>3761</c:v>
                      </c:pt>
                      <c:pt idx="13">
                        <c:v>3708</c:v>
                      </c:pt>
                      <c:pt idx="14">
                        <c:v>3797</c:v>
                      </c:pt>
                      <c:pt idx="15">
                        <c:v>4043</c:v>
                      </c:pt>
                      <c:pt idx="16">
                        <c:v>3783</c:v>
                      </c:pt>
                      <c:pt idx="17">
                        <c:v>3662</c:v>
                      </c:pt>
                      <c:pt idx="18">
                        <c:v>3629</c:v>
                      </c:pt>
                      <c:pt idx="19">
                        <c:v>3395</c:v>
                      </c:pt>
                      <c:pt idx="20">
                        <c:v>3270</c:v>
                      </c:pt>
                      <c:pt idx="21">
                        <c:v>3415</c:v>
                      </c:pt>
                      <c:pt idx="22">
                        <c:v>3399</c:v>
                      </c:pt>
                      <c:pt idx="23">
                        <c:v>3560</c:v>
                      </c:pt>
                      <c:pt idx="24">
                        <c:v>3413</c:v>
                      </c:pt>
                      <c:pt idx="25">
                        <c:v>3361</c:v>
                      </c:pt>
                      <c:pt idx="26">
                        <c:v>3507</c:v>
                      </c:pt>
                      <c:pt idx="27">
                        <c:v>3394</c:v>
                      </c:pt>
                      <c:pt idx="28">
                        <c:v>3239</c:v>
                      </c:pt>
                      <c:pt idx="29">
                        <c:v>3346</c:v>
                      </c:pt>
                      <c:pt idx="30">
                        <c:v>3522</c:v>
                      </c:pt>
                      <c:pt idx="31">
                        <c:v>3669</c:v>
                      </c:pt>
                      <c:pt idx="32">
                        <c:v>3553</c:v>
                      </c:pt>
                      <c:pt idx="33">
                        <c:v>3751</c:v>
                      </c:pt>
                      <c:pt idx="34">
                        <c:v>3639</c:v>
                      </c:pt>
                      <c:pt idx="35">
                        <c:v>3620</c:v>
                      </c:pt>
                      <c:pt idx="36">
                        <c:v>3765</c:v>
                      </c:pt>
                      <c:pt idx="37">
                        <c:v>3749</c:v>
                      </c:pt>
                      <c:pt idx="38">
                        <c:v>4096</c:v>
                      </c:pt>
                      <c:pt idx="39">
                        <c:v>4026</c:v>
                      </c:pt>
                      <c:pt idx="40">
                        <c:v>4003</c:v>
                      </c:pt>
                      <c:pt idx="41">
                        <c:v>3928</c:v>
                      </c:pt>
                      <c:pt idx="42">
                        <c:v>3949</c:v>
                      </c:pt>
                      <c:pt idx="43">
                        <c:v>3858</c:v>
                      </c:pt>
                      <c:pt idx="44">
                        <c:v>3677</c:v>
                      </c:pt>
                      <c:pt idx="45">
                        <c:v>4107</c:v>
                      </c:pt>
                      <c:pt idx="46">
                        <c:v>4232</c:v>
                      </c:pt>
                      <c:pt idx="47">
                        <c:v>4389</c:v>
                      </c:pt>
                      <c:pt idx="48">
                        <c:v>4631</c:v>
                      </c:pt>
                      <c:pt idx="49">
                        <c:v>4343</c:v>
                      </c:pt>
                      <c:pt idx="50">
                        <c:v>4530</c:v>
                      </c:pt>
                      <c:pt idx="51">
                        <c:v>4641</c:v>
                      </c:pt>
                      <c:pt idx="52">
                        <c:v>4521</c:v>
                      </c:pt>
                      <c:pt idx="53">
                        <c:v>4524</c:v>
                      </c:pt>
                      <c:pt idx="54">
                        <c:v>4472</c:v>
                      </c:pt>
                      <c:pt idx="55">
                        <c:v>4325</c:v>
                      </c:pt>
                      <c:pt idx="56">
                        <c:v>4082</c:v>
                      </c:pt>
                      <c:pt idx="57">
                        <c:v>4447</c:v>
                      </c:pt>
                      <c:pt idx="58">
                        <c:v>4521</c:v>
                      </c:pt>
                      <c:pt idx="59">
                        <c:v>4414</c:v>
                      </c:pt>
                      <c:pt idx="60">
                        <c:v>4808</c:v>
                      </c:pt>
                      <c:pt idx="61">
                        <c:v>4520</c:v>
                      </c:pt>
                      <c:pt idx="62">
                        <c:v>3952</c:v>
                      </c:pt>
                      <c:pt idx="63">
                        <c:v>3377</c:v>
                      </c:pt>
                      <c:pt idx="64">
                        <c:v>3331</c:v>
                      </c:pt>
                      <c:pt idx="65">
                        <c:v>3349</c:v>
                      </c:pt>
                      <c:pt idx="66">
                        <c:v>3312</c:v>
                      </c:pt>
                      <c:pt idx="67">
                        <c:v>3320</c:v>
                      </c:pt>
                      <c:pt idx="68">
                        <c:v>3627</c:v>
                      </c:pt>
                      <c:pt idx="69">
                        <c:v>3665</c:v>
                      </c:pt>
                      <c:pt idx="70">
                        <c:v>3887</c:v>
                      </c:pt>
                      <c:pt idx="71">
                        <c:v>4314</c:v>
                      </c:pt>
                      <c:pt idx="72">
                        <c:v>4445</c:v>
                      </c:pt>
                      <c:pt idx="73">
                        <c:v>4566</c:v>
                      </c:pt>
                      <c:pt idx="74">
                        <c:v>4903</c:v>
                      </c:pt>
                      <c:pt idx="75">
                        <c:v>4971</c:v>
                      </c:pt>
                      <c:pt idx="76">
                        <c:v>5256</c:v>
                      </c:pt>
                      <c:pt idx="77">
                        <c:v>5369</c:v>
                      </c:pt>
                      <c:pt idx="78">
                        <c:v>5427</c:v>
                      </c:pt>
                      <c:pt idx="79">
                        <c:v>5277</c:v>
                      </c:pt>
                      <c:pt idx="80">
                        <c:v>4896</c:v>
                      </c:pt>
                      <c:pt idx="81">
                        <c:v>5388</c:v>
                      </c:pt>
                      <c:pt idx="82">
                        <c:v>5361</c:v>
                      </c:pt>
                      <c:pt idx="83">
                        <c:v>5497</c:v>
                      </c:pt>
                      <c:pt idx="84">
                        <c:v>5528</c:v>
                      </c:pt>
                      <c:pt idx="85">
                        <c:v>5427</c:v>
                      </c:pt>
                      <c:pt idx="86">
                        <c:v>5376</c:v>
                      </c:pt>
                      <c:pt idx="87">
                        <c:v>5655</c:v>
                      </c:pt>
                      <c:pt idx="88">
                        <c:v>5788</c:v>
                      </c:pt>
                      <c:pt idx="89">
                        <c:v>5646</c:v>
                      </c:pt>
                      <c:pt idx="90">
                        <c:v>5709</c:v>
                      </c:pt>
                      <c:pt idx="91">
                        <c:v>5482</c:v>
                      </c:pt>
                      <c:pt idx="92">
                        <c:v>4889</c:v>
                      </c:pt>
                      <c:pt idx="93">
                        <c:v>4979</c:v>
                      </c:pt>
                      <c:pt idx="94">
                        <c:v>5056</c:v>
                      </c:pt>
                      <c:pt idx="95">
                        <c:v>5046</c:v>
                      </c:pt>
                      <c:pt idx="96">
                        <c:v>5046</c:v>
                      </c:pt>
                      <c:pt idx="97">
                        <c:v>5152</c:v>
                      </c:pt>
                      <c:pt idx="98">
                        <c:v>4873</c:v>
                      </c:pt>
                      <c:pt idx="99">
                        <c:v>5528</c:v>
                      </c:pt>
                      <c:pt idx="100">
                        <c:v>4787</c:v>
                      </c:pt>
                      <c:pt idx="101">
                        <c:v>4777</c:v>
                      </c:pt>
                      <c:pt idx="102">
                        <c:v>4486</c:v>
                      </c:pt>
                      <c:pt idx="103">
                        <c:v>4369</c:v>
                      </c:pt>
                      <c:pt idx="104">
                        <c:v>4337</c:v>
                      </c:pt>
                      <c:pt idx="105">
                        <c:v>4598</c:v>
                      </c:pt>
                      <c:pt idx="106">
                        <c:v>4742</c:v>
                      </c:pt>
                      <c:pt idx="107">
                        <c:v>4720</c:v>
                      </c:pt>
                      <c:pt idx="108">
                        <c:v>5242</c:v>
                      </c:pt>
                      <c:pt idx="109">
                        <c:v>5248</c:v>
                      </c:pt>
                      <c:pt idx="110">
                        <c:v>5077</c:v>
                      </c:pt>
                      <c:pt idx="111">
                        <c:v>4911</c:v>
                      </c:pt>
                      <c:pt idx="112">
                        <c:v>4901</c:v>
                      </c:pt>
                      <c:pt idx="113">
                        <c:v>4574</c:v>
                      </c:pt>
                      <c:pt idx="114">
                        <c:v>4452</c:v>
                      </c:pt>
                      <c:pt idx="115">
                        <c:v>4253</c:v>
                      </c:pt>
                      <c:pt idx="116">
                        <c:v>4083</c:v>
                      </c:pt>
                      <c:pt idx="117">
                        <c:v>4395</c:v>
                      </c:pt>
                      <c:pt idx="118">
                        <c:v>4479</c:v>
                      </c:pt>
                      <c:pt idx="119">
                        <c:v>4477</c:v>
                      </c:pt>
                      <c:pt idx="120">
                        <c:v>4058</c:v>
                      </c:pt>
                      <c:pt idx="121">
                        <c:v>4047</c:v>
                      </c:pt>
                      <c:pt idx="122">
                        <c:v>4176</c:v>
                      </c:pt>
                      <c:pt idx="123">
                        <c:v>4093</c:v>
                      </c:pt>
                      <c:pt idx="124">
                        <c:v>4294</c:v>
                      </c:pt>
                      <c:pt idx="125">
                        <c:v>4131</c:v>
                      </c:pt>
                      <c:pt idx="126">
                        <c:v>3819</c:v>
                      </c:pt>
                      <c:pt idx="127">
                        <c:v>3420</c:v>
                      </c:pt>
                      <c:pt idx="128">
                        <c:v>3440</c:v>
                      </c:pt>
                      <c:pt idx="129">
                        <c:v>3680</c:v>
                      </c:pt>
                      <c:pt idx="130">
                        <c:v>4304</c:v>
                      </c:pt>
                      <c:pt idx="131">
                        <c:v>4062</c:v>
                      </c:pt>
                      <c:pt idx="132">
                        <c:v>3790</c:v>
                      </c:pt>
                      <c:pt idx="133">
                        <c:v>3698</c:v>
                      </c:pt>
                      <c:pt idx="134">
                        <c:v>3396</c:v>
                      </c:pt>
                      <c:pt idx="135">
                        <c:v>3385</c:v>
                      </c:pt>
                      <c:pt idx="136">
                        <c:v>3277</c:v>
                      </c:pt>
                      <c:pt idx="137">
                        <c:v>3381</c:v>
                      </c:pt>
                      <c:pt idx="138">
                        <c:v>3095</c:v>
                      </c:pt>
                      <c:pt idx="139">
                        <c:v>3113</c:v>
                      </c:pt>
                      <c:pt idx="140">
                        <c:v>3108</c:v>
                      </c:pt>
                      <c:pt idx="141">
                        <c:v>3109</c:v>
                      </c:pt>
                      <c:pt idx="142">
                        <c:v>3151</c:v>
                      </c:pt>
                      <c:pt idx="143">
                        <c:v>3251</c:v>
                      </c:pt>
                      <c:pt idx="144">
                        <c:v>3063</c:v>
                      </c:pt>
                      <c:pt idx="145">
                        <c:v>2938</c:v>
                      </c:pt>
                      <c:pt idx="146">
                        <c:v>2786</c:v>
                      </c:pt>
                      <c:pt idx="147">
                        <c:v>2936</c:v>
                      </c:pt>
                      <c:pt idx="148">
                        <c:v>2964</c:v>
                      </c:pt>
                      <c:pt idx="149">
                        <c:v>2797</c:v>
                      </c:pt>
                      <c:pt idx="150">
                        <c:v>2541</c:v>
                      </c:pt>
                      <c:pt idx="151">
                        <c:v>2546</c:v>
                      </c:pt>
                      <c:pt idx="152">
                        <c:v>2491</c:v>
                      </c:pt>
                      <c:pt idx="153">
                        <c:v>2566</c:v>
                      </c:pt>
                      <c:pt idx="154">
                        <c:v>2430</c:v>
                      </c:pt>
                      <c:pt idx="155">
                        <c:v>2328</c:v>
                      </c:pt>
                      <c:pt idx="156">
                        <c:v>2420</c:v>
                      </c:pt>
                      <c:pt idx="157">
                        <c:v>2402</c:v>
                      </c:pt>
                      <c:pt idx="158">
                        <c:v>2255</c:v>
                      </c:pt>
                      <c:pt idx="159">
                        <c:v>2302</c:v>
                      </c:pt>
                      <c:pt idx="160">
                        <c:v>2372</c:v>
                      </c:pt>
                      <c:pt idx="161">
                        <c:v>2464</c:v>
                      </c:pt>
                      <c:pt idx="162">
                        <c:v>2495</c:v>
                      </c:pt>
                      <c:pt idx="163">
                        <c:v>2407</c:v>
                      </c:pt>
                      <c:pt idx="164">
                        <c:v>2489</c:v>
                      </c:pt>
                      <c:pt idx="165">
                        <c:v>2406</c:v>
                      </c:pt>
                      <c:pt idx="166">
                        <c:v>2391</c:v>
                      </c:pt>
                      <c:pt idx="167">
                        <c:v>2534</c:v>
                      </c:pt>
                      <c:pt idx="168">
                        <c:v>2516</c:v>
                      </c:pt>
                      <c:pt idx="169">
                        <c:v>2499</c:v>
                      </c:pt>
                      <c:pt idx="170">
                        <c:v>2536</c:v>
                      </c:pt>
                      <c:pt idx="171">
                        <c:v>2525</c:v>
                      </c:pt>
                      <c:pt idx="172">
                        <c:v>2510</c:v>
                      </c:pt>
                      <c:pt idx="173">
                        <c:v>2570</c:v>
                      </c:pt>
                      <c:pt idx="174">
                        <c:v>2749</c:v>
                      </c:pt>
                      <c:pt idx="175">
                        <c:v>2757</c:v>
                      </c:pt>
                      <c:pt idx="176">
                        <c:v>2726</c:v>
                      </c:pt>
                      <c:pt idx="177">
                        <c:v>2567</c:v>
                      </c:pt>
                      <c:pt idx="178">
                        <c:v>2508</c:v>
                      </c:pt>
                      <c:pt idx="179">
                        <c:v>2582</c:v>
                      </c:pt>
                      <c:pt idx="180">
                        <c:v>2481</c:v>
                      </c:pt>
                      <c:pt idx="181">
                        <c:v>2412</c:v>
                      </c:pt>
                      <c:pt idx="182">
                        <c:v>2405</c:v>
                      </c:pt>
                      <c:pt idx="183">
                        <c:v>2374</c:v>
                      </c:pt>
                      <c:pt idx="184">
                        <c:v>2382</c:v>
                      </c:pt>
                      <c:pt idx="185">
                        <c:v>2256</c:v>
                      </c:pt>
                      <c:pt idx="186">
                        <c:v>2171</c:v>
                      </c:pt>
                      <c:pt idx="187">
                        <c:v>2124</c:v>
                      </c:pt>
                      <c:pt idx="188">
                        <c:v>2104</c:v>
                      </c:pt>
                      <c:pt idx="189">
                        <c:v>2168</c:v>
                      </c:pt>
                      <c:pt idx="190">
                        <c:v>2180</c:v>
                      </c:pt>
                      <c:pt idx="191">
                        <c:v>2161</c:v>
                      </c:pt>
                      <c:pt idx="192">
                        <c:v>2072</c:v>
                      </c:pt>
                      <c:pt idx="193">
                        <c:v>2032</c:v>
                      </c:pt>
                      <c:pt idx="194">
                        <c:v>2044</c:v>
                      </c:pt>
                      <c:pt idx="195">
                        <c:v>1962</c:v>
                      </c:pt>
                      <c:pt idx="196">
                        <c:v>1918</c:v>
                      </c:pt>
                      <c:pt idx="197">
                        <c:v>1881</c:v>
                      </c:pt>
                      <c:pt idx="198">
                        <c:v>1832</c:v>
                      </c:pt>
                      <c:pt idx="199">
                        <c:v>1824</c:v>
                      </c:pt>
                      <c:pt idx="200">
                        <c:v>1878</c:v>
                      </c:pt>
                      <c:pt idx="201">
                        <c:v>1878</c:v>
                      </c:pt>
                      <c:pt idx="202">
                        <c:v>1876</c:v>
                      </c:pt>
                      <c:pt idx="203">
                        <c:v>1855</c:v>
                      </c:pt>
                      <c:pt idx="204">
                        <c:v>1842</c:v>
                      </c:pt>
                      <c:pt idx="205">
                        <c:v>1818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#N/A</c:v>
                      </c:pt>
                      <c:pt idx="294">
                        <c:v>#N/A</c:v>
                      </c:pt>
                      <c:pt idx="295">
                        <c:v>#N/A</c:v>
                      </c:pt>
                      <c:pt idx="296">
                        <c:v>#N/A</c:v>
                      </c:pt>
                      <c:pt idx="297">
                        <c:v>#N/A</c:v>
                      </c:pt>
                      <c:pt idx="298">
                        <c:v>#N/A</c:v>
                      </c:pt>
                      <c:pt idx="299">
                        <c:v>#N/A</c:v>
                      </c:pt>
                      <c:pt idx="300">
                        <c:v>#N/A</c:v>
                      </c:pt>
                      <c:pt idx="301">
                        <c:v>#N/A</c:v>
                      </c:pt>
                      <c:pt idx="302">
                        <c:v>#N/A</c:v>
                      </c:pt>
                      <c:pt idx="303">
                        <c:v>#N/A</c:v>
                      </c:pt>
                      <c:pt idx="304">
                        <c:v>#N/A</c:v>
                      </c:pt>
                      <c:pt idx="305">
                        <c:v>#N/A</c:v>
                      </c:pt>
                      <c:pt idx="306">
                        <c:v>1371</c:v>
                      </c:pt>
                      <c:pt idx="307">
                        <c:v>1371</c:v>
                      </c:pt>
                      <c:pt idx="308">
                        <c:v>1411</c:v>
                      </c:pt>
                      <c:pt idx="309">
                        <c:v>1391</c:v>
                      </c:pt>
                      <c:pt idx="310">
                        <c:v>1413</c:v>
                      </c:pt>
                      <c:pt idx="311">
                        <c:v>1339</c:v>
                      </c:pt>
                      <c:pt idx="312">
                        <c:v>1337</c:v>
                      </c:pt>
                      <c:pt idx="313">
                        <c:v>1307</c:v>
                      </c:pt>
                      <c:pt idx="314">
                        <c:v>1286</c:v>
                      </c:pt>
                      <c:pt idx="315">
                        <c:v>1271</c:v>
                      </c:pt>
                      <c:pt idx="316">
                        <c:v>1315</c:v>
                      </c:pt>
                      <c:pt idx="317">
                        <c:v>1352</c:v>
                      </c:pt>
                      <c:pt idx="318">
                        <c:v>1387</c:v>
                      </c:pt>
                      <c:pt idx="319">
                        <c:v>1423</c:v>
                      </c:pt>
                      <c:pt idx="320">
                        <c:v>1436</c:v>
                      </c:pt>
                      <c:pt idx="321">
                        <c:v>1405</c:v>
                      </c:pt>
                      <c:pt idx="322">
                        <c:v>1385</c:v>
                      </c:pt>
                      <c:pt idx="323">
                        <c:v>1382</c:v>
                      </c:pt>
                      <c:pt idx="324">
                        <c:v>1353</c:v>
                      </c:pt>
                      <c:pt idx="325">
                        <c:v>1356</c:v>
                      </c:pt>
                      <c:pt idx="326">
                        <c:v>1357</c:v>
                      </c:pt>
                      <c:pt idx="327">
                        <c:v>1226</c:v>
                      </c:pt>
                      <c:pt idx="328">
                        <c:v>1197</c:v>
                      </c:pt>
                      <c:pt idx="329">
                        <c:v>1202</c:v>
                      </c:pt>
                      <c:pt idx="330">
                        <c:v>1154</c:v>
                      </c:pt>
                      <c:pt idx="331">
                        <c:v>1164</c:v>
                      </c:pt>
                      <c:pt idx="332">
                        <c:v>1227</c:v>
                      </c:pt>
                      <c:pt idx="333">
                        <c:v>1210</c:v>
                      </c:pt>
                      <c:pt idx="334">
                        <c:v>1199</c:v>
                      </c:pt>
                      <c:pt idx="335">
                        <c:v>1186</c:v>
                      </c:pt>
                      <c:pt idx="336">
                        <c:v>1168</c:v>
                      </c:pt>
                      <c:pt idx="337">
                        <c:v>1186</c:v>
                      </c:pt>
                      <c:pt idx="338">
                        <c:v>1194</c:v>
                      </c:pt>
                      <c:pt idx="339">
                        <c:v>1150</c:v>
                      </c:pt>
                      <c:pt idx="340">
                        <c:v>1205</c:v>
                      </c:pt>
                      <c:pt idx="341">
                        <c:v>1219</c:v>
                      </c:pt>
                      <c:pt idx="342">
                        <c:v>1234</c:v>
                      </c:pt>
                      <c:pt idx="343">
                        <c:v>1278</c:v>
                      </c:pt>
                      <c:pt idx="344">
                        <c:v>1216</c:v>
                      </c:pt>
                      <c:pt idx="345">
                        <c:v>1249</c:v>
                      </c:pt>
                      <c:pt idx="346">
                        <c:v>1274</c:v>
                      </c:pt>
                      <c:pt idx="347">
                        <c:v>1289</c:v>
                      </c:pt>
                      <c:pt idx="348">
                        <c:v>1279</c:v>
                      </c:pt>
                      <c:pt idx="349">
                        <c:v>1301</c:v>
                      </c:pt>
                      <c:pt idx="350">
                        <c:v>1297</c:v>
                      </c:pt>
                      <c:pt idx="351">
                        <c:v>1342</c:v>
                      </c:pt>
                      <c:pt idx="352">
                        <c:v>1367</c:v>
                      </c:pt>
                      <c:pt idx="353">
                        <c:v>1314</c:v>
                      </c:pt>
                      <c:pt idx="354">
                        <c:v>1338</c:v>
                      </c:pt>
                      <c:pt idx="355">
                        <c:v>1380</c:v>
                      </c:pt>
                      <c:pt idx="356">
                        <c:v>1367</c:v>
                      </c:pt>
                      <c:pt idx="357">
                        <c:v>1367</c:v>
                      </c:pt>
                      <c:pt idx="358">
                        <c:v>1447</c:v>
                      </c:pt>
                      <c:pt idx="359">
                        <c:v>1401</c:v>
                      </c:pt>
                      <c:pt idx="360">
                        <c:v>1398</c:v>
                      </c:pt>
                      <c:pt idx="361">
                        <c:v>1402</c:v>
                      </c:pt>
                      <c:pt idx="362">
                        <c:v>1421</c:v>
                      </c:pt>
                      <c:pt idx="363">
                        <c:v>1378</c:v>
                      </c:pt>
                      <c:pt idx="364">
                        <c:v>1322</c:v>
                      </c:pt>
                      <c:pt idx="365">
                        <c:v>1237</c:v>
                      </c:pt>
                      <c:pt idx="366">
                        <c:v>1277</c:v>
                      </c:pt>
                      <c:pt idx="367">
                        <c:v>1331</c:v>
                      </c:pt>
                      <c:pt idx="368">
                        <c:v>1332</c:v>
                      </c:pt>
                      <c:pt idx="369">
                        <c:v>1300</c:v>
                      </c:pt>
                      <c:pt idx="370">
                        <c:v>1331</c:v>
                      </c:pt>
                      <c:pt idx="371">
                        <c:v>1272</c:v>
                      </c:pt>
                      <c:pt idx="372">
                        <c:v>1351</c:v>
                      </c:pt>
                      <c:pt idx="373">
                        <c:v>1338</c:v>
                      </c:pt>
                      <c:pt idx="374">
                        <c:v>1338</c:v>
                      </c:pt>
                      <c:pt idx="375">
                        <c:v>1335</c:v>
                      </c:pt>
                      <c:pt idx="376">
                        <c:v>1358</c:v>
                      </c:pt>
                      <c:pt idx="377">
                        <c:v>1427</c:v>
                      </c:pt>
                      <c:pt idx="378">
                        <c:v>1427</c:v>
                      </c:pt>
                      <c:pt idx="379">
                        <c:v>1474</c:v>
                      </c:pt>
                      <c:pt idx="380">
                        <c:v>1430</c:v>
                      </c:pt>
                      <c:pt idx="381">
                        <c:v>1419</c:v>
                      </c:pt>
                      <c:pt idx="382">
                        <c:v>1455</c:v>
                      </c:pt>
                      <c:pt idx="383">
                        <c:v>1430</c:v>
                      </c:pt>
                      <c:pt idx="384">
                        <c:v>1369</c:v>
                      </c:pt>
                      <c:pt idx="385">
                        <c:v>1364</c:v>
                      </c:pt>
                      <c:pt idx="386">
                        <c:v>1390</c:v>
                      </c:pt>
                      <c:pt idx="387">
                        <c:v>1416</c:v>
                      </c:pt>
                      <c:pt idx="388">
                        <c:v>1421</c:v>
                      </c:pt>
                      <c:pt idx="389">
                        <c:v>1465</c:v>
                      </c:pt>
                      <c:pt idx="390">
                        <c:v>1492</c:v>
                      </c:pt>
                      <c:pt idx="391">
                        <c:v>1503</c:v>
                      </c:pt>
                      <c:pt idx="392">
                        <c:v>1490</c:v>
                      </c:pt>
                      <c:pt idx="393">
                        <c:v>1505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64-4DA7-A5E6-9256AAE1C46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HISTORICAL!$D$1</c15:sqref>
                        </c15:formulaRef>
                      </c:ext>
                    </c:extLst>
                    <c:strCache>
                      <c:ptCount val="1"/>
                      <c:pt idx="0">
                        <c:v>VND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HISTORICAL!$A$2:$A$200</c15:sqref>
                        </c15:formulaRef>
                      </c:ext>
                    </c:extLst>
                    <c:numCache>
                      <c:formatCode>m/d/yyyy</c:formatCode>
                      <c:ptCount val="199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HISTORICAL!$D$2:$D$395</c15:sqref>
                        </c15:formulaRef>
                      </c:ext>
                    </c:extLst>
                    <c:numCache>
                      <c:formatCode>General</c:formatCode>
                      <c:ptCount val="394"/>
                      <c:pt idx="0">
                        <c:v>25848</c:v>
                      </c:pt>
                      <c:pt idx="1">
                        <c:v>25872</c:v>
                      </c:pt>
                      <c:pt idx="2">
                        <c:v>25889</c:v>
                      </c:pt>
                      <c:pt idx="3">
                        <c:v>25979</c:v>
                      </c:pt>
                      <c:pt idx="4">
                        <c:v>25990</c:v>
                      </c:pt>
                      <c:pt idx="5">
                        <c:v>26009</c:v>
                      </c:pt>
                      <c:pt idx="6">
                        <c:v>25921</c:v>
                      </c:pt>
                      <c:pt idx="7">
                        <c:v>26070</c:v>
                      </c:pt>
                      <c:pt idx="8">
                        <c:v>26076</c:v>
                      </c:pt>
                      <c:pt idx="9">
                        <c:v>26099</c:v>
                      </c:pt>
                      <c:pt idx="10">
                        <c:v>26070</c:v>
                      </c:pt>
                      <c:pt idx="11">
                        <c:v>26234</c:v>
                      </c:pt>
                      <c:pt idx="12">
                        <c:v>26279</c:v>
                      </c:pt>
                      <c:pt idx="13">
                        <c:v>26314</c:v>
                      </c:pt>
                      <c:pt idx="14">
                        <c:v>26251</c:v>
                      </c:pt>
                      <c:pt idx="15">
                        <c:v>26290</c:v>
                      </c:pt>
                      <c:pt idx="16">
                        <c:v>26285</c:v>
                      </c:pt>
                      <c:pt idx="17">
                        <c:v>26315</c:v>
                      </c:pt>
                      <c:pt idx="18">
                        <c:v>26270</c:v>
                      </c:pt>
                      <c:pt idx="19">
                        <c:v>26325</c:v>
                      </c:pt>
                      <c:pt idx="20">
                        <c:v>26275</c:v>
                      </c:pt>
                      <c:pt idx="21">
                        <c:v>26326</c:v>
                      </c:pt>
                      <c:pt idx="22">
                        <c:v>26350</c:v>
                      </c:pt>
                      <c:pt idx="23">
                        <c:v>26317</c:v>
                      </c:pt>
                      <c:pt idx="24">
                        <c:v>26320</c:v>
                      </c:pt>
                      <c:pt idx="25">
                        <c:v>26355</c:v>
                      </c:pt>
                      <c:pt idx="26">
                        <c:v>26294</c:v>
                      </c:pt>
                      <c:pt idx="27">
                        <c:v>26302</c:v>
                      </c:pt>
                      <c:pt idx="28">
                        <c:v>26320</c:v>
                      </c:pt>
                      <c:pt idx="29">
                        <c:v>26310</c:v>
                      </c:pt>
                      <c:pt idx="30">
                        <c:v>26348</c:v>
                      </c:pt>
                      <c:pt idx="31">
                        <c:v>26255</c:v>
                      </c:pt>
                      <c:pt idx="32">
                        <c:v>26190</c:v>
                      </c:pt>
                      <c:pt idx="33">
                        <c:v>26210</c:v>
                      </c:pt>
                      <c:pt idx="34">
                        <c:v>26030</c:v>
                      </c:pt>
                      <c:pt idx="35">
                        <c:v>25920</c:v>
                      </c:pt>
                      <c:pt idx="36">
                        <c:v>25910</c:v>
                      </c:pt>
                      <c:pt idx="37">
                        <c:v>25950</c:v>
                      </c:pt>
                      <c:pt idx="38">
                        <c:v>25950</c:v>
                      </c:pt>
                      <c:pt idx="39">
                        <c:v>26267</c:v>
                      </c:pt>
                      <c:pt idx="40">
                        <c:v>26230</c:v>
                      </c:pt>
                      <c:pt idx="41">
                        <c:v>26230</c:v>
                      </c:pt>
                      <c:pt idx="42">
                        <c:v>26295</c:v>
                      </c:pt>
                      <c:pt idx="43">
                        <c:v>26315</c:v>
                      </c:pt>
                      <c:pt idx="44">
                        <c:v>26285</c:v>
                      </c:pt>
                      <c:pt idx="45">
                        <c:v>26300</c:v>
                      </c:pt>
                      <c:pt idx="46">
                        <c:v>26340</c:v>
                      </c:pt>
                      <c:pt idx="47">
                        <c:v>26372</c:v>
                      </c:pt>
                      <c:pt idx="48">
                        <c:v>26366</c:v>
                      </c:pt>
                      <c:pt idx="49">
                        <c:v>26350</c:v>
                      </c:pt>
                      <c:pt idx="50">
                        <c:v>26285</c:v>
                      </c:pt>
                      <c:pt idx="51">
                        <c:v>26315</c:v>
                      </c:pt>
                      <c:pt idx="52">
                        <c:v>26312</c:v>
                      </c:pt>
                      <c:pt idx="53">
                        <c:v>26310</c:v>
                      </c:pt>
                      <c:pt idx="54">
                        <c:v>26346</c:v>
                      </c:pt>
                      <c:pt idx="55">
                        <c:v>26393</c:v>
                      </c:pt>
                      <c:pt idx="56">
                        <c:v>26380</c:v>
                      </c:pt>
                      <c:pt idx="57">
                        <c:v>26355</c:v>
                      </c:pt>
                      <c:pt idx="58">
                        <c:v>26375</c:v>
                      </c:pt>
                      <c:pt idx="59">
                        <c:v>26360</c:v>
                      </c:pt>
                      <c:pt idx="60">
                        <c:v>26360</c:v>
                      </c:pt>
                      <c:pt idx="61">
                        <c:v>26405</c:v>
                      </c:pt>
                      <c:pt idx="62">
                        <c:v>26230</c:v>
                      </c:pt>
                      <c:pt idx="63">
                        <c:v>26190</c:v>
                      </c:pt>
                      <c:pt idx="64">
                        <c:v>26197</c:v>
                      </c:pt>
                      <c:pt idx="65">
                        <c:v>26110</c:v>
                      </c:pt>
                      <c:pt idx="66">
                        <c:v>26135</c:v>
                      </c:pt>
                      <c:pt idx="67">
                        <c:v>26113</c:v>
                      </c:pt>
                      <c:pt idx="68">
                        <c:v>26175</c:v>
                      </c:pt>
                      <c:pt idx="69">
                        <c:v>26100</c:v>
                      </c:pt>
                      <c:pt idx="70">
                        <c:v>26123</c:v>
                      </c:pt>
                      <c:pt idx="71">
                        <c:v>26020</c:v>
                      </c:pt>
                      <c:pt idx="72">
                        <c:v>26056</c:v>
                      </c:pt>
                      <c:pt idx="73">
                        <c:v>25950</c:v>
                      </c:pt>
                      <c:pt idx="74">
                        <c:v>25970</c:v>
                      </c:pt>
                      <c:pt idx="75">
                        <c:v>25920</c:v>
                      </c:pt>
                      <c:pt idx="76">
                        <c:v>25948</c:v>
                      </c:pt>
                      <c:pt idx="77">
                        <c:v>25980</c:v>
                      </c:pt>
                      <c:pt idx="78">
                        <c:v>26026</c:v>
                      </c:pt>
                      <c:pt idx="79">
                        <c:v>25837</c:v>
                      </c:pt>
                      <c:pt idx="80">
                        <c:v>25740</c:v>
                      </c:pt>
                      <c:pt idx="81">
                        <c:v>25790</c:v>
                      </c:pt>
                      <c:pt idx="82">
                        <c:v>25560</c:v>
                      </c:pt>
                      <c:pt idx="83">
                        <c:v>25545</c:v>
                      </c:pt>
                      <c:pt idx="84">
                        <c:v>25490</c:v>
                      </c:pt>
                      <c:pt idx="85">
                        <c:v>25485</c:v>
                      </c:pt>
                      <c:pt idx="86">
                        <c:v>25520</c:v>
                      </c:pt>
                      <c:pt idx="87">
                        <c:v>25500</c:v>
                      </c:pt>
                      <c:pt idx="88">
                        <c:v>25440</c:v>
                      </c:pt>
                      <c:pt idx="89">
                        <c:v>25260</c:v>
                      </c:pt>
                      <c:pt idx="90">
                        <c:v>25060</c:v>
                      </c:pt>
                      <c:pt idx="91">
                        <c:v>25080</c:v>
                      </c:pt>
                      <c:pt idx="92">
                        <c:v>25370</c:v>
                      </c:pt>
                      <c:pt idx="93">
                        <c:v>25375</c:v>
                      </c:pt>
                      <c:pt idx="94">
                        <c:v>25450</c:v>
                      </c:pt>
                      <c:pt idx="95">
                        <c:v>25425</c:v>
                      </c:pt>
                      <c:pt idx="96">
                        <c:v>25450</c:v>
                      </c:pt>
                      <c:pt idx="97">
                        <c:v>25394</c:v>
                      </c:pt>
                      <c:pt idx="98">
                        <c:v>25380</c:v>
                      </c:pt>
                      <c:pt idx="99">
                        <c:v>25358</c:v>
                      </c:pt>
                      <c:pt idx="100">
                        <c:v>25415</c:v>
                      </c:pt>
                      <c:pt idx="101">
                        <c:v>25390</c:v>
                      </c:pt>
                      <c:pt idx="102">
                        <c:v>25350</c:v>
                      </c:pt>
                      <c:pt idx="103">
                        <c:v>25270</c:v>
                      </c:pt>
                      <c:pt idx="104">
                        <c:v>25385</c:v>
                      </c:pt>
                      <c:pt idx="105">
                        <c:v>25180</c:v>
                      </c:pt>
                      <c:pt idx="106">
                        <c:v>24830</c:v>
                      </c:pt>
                      <c:pt idx="107">
                        <c:v>24745</c:v>
                      </c:pt>
                      <c:pt idx="108">
                        <c:v>24615</c:v>
                      </c:pt>
                      <c:pt idx="109">
                        <c:v>24565</c:v>
                      </c:pt>
                      <c:pt idx="110">
                        <c:v>24575</c:v>
                      </c:pt>
                      <c:pt idx="111">
                        <c:v>24730</c:v>
                      </c:pt>
                      <c:pt idx="112">
                        <c:v>24870</c:v>
                      </c:pt>
                      <c:pt idx="113">
                        <c:v>24960</c:v>
                      </c:pt>
                      <c:pt idx="114">
                        <c:v>25050</c:v>
                      </c:pt>
                      <c:pt idx="115">
                        <c:v>25135</c:v>
                      </c:pt>
                      <c:pt idx="116">
                        <c:v>25215</c:v>
                      </c:pt>
                      <c:pt idx="117">
                        <c:v>25285</c:v>
                      </c:pt>
                      <c:pt idx="118">
                        <c:v>25310</c:v>
                      </c:pt>
                      <c:pt idx="119">
                        <c:v>25415</c:v>
                      </c:pt>
                      <c:pt idx="120">
                        <c:v>25450</c:v>
                      </c:pt>
                      <c:pt idx="121">
                        <c:v>25455</c:v>
                      </c:pt>
                      <c:pt idx="122">
                        <c:v>25450</c:v>
                      </c:pt>
                      <c:pt idx="123">
                        <c:v>25435</c:v>
                      </c:pt>
                      <c:pt idx="124">
                        <c:v>25420</c:v>
                      </c:pt>
                      <c:pt idx="125">
                        <c:v>25450</c:v>
                      </c:pt>
                      <c:pt idx="126">
                        <c:v>25469</c:v>
                      </c:pt>
                      <c:pt idx="127">
                        <c:v>25431</c:v>
                      </c:pt>
                      <c:pt idx="128">
                        <c:v>25450</c:v>
                      </c:pt>
                      <c:pt idx="129">
                        <c:v>25390</c:v>
                      </c:pt>
                      <c:pt idx="130">
                        <c:v>25350</c:v>
                      </c:pt>
                      <c:pt idx="131">
                        <c:v>25400</c:v>
                      </c:pt>
                      <c:pt idx="132">
                        <c:v>24980</c:v>
                      </c:pt>
                      <c:pt idx="133">
                        <c:v>24935</c:v>
                      </c:pt>
                      <c:pt idx="134">
                        <c:v>24790</c:v>
                      </c:pt>
                      <c:pt idx="135">
                        <c:v>24785</c:v>
                      </c:pt>
                      <c:pt idx="136">
                        <c:v>24690</c:v>
                      </c:pt>
                      <c:pt idx="137">
                        <c:v>24680</c:v>
                      </c:pt>
                      <c:pt idx="138">
                        <c:v>24640</c:v>
                      </c:pt>
                      <c:pt idx="139">
                        <c:v>24590</c:v>
                      </c:pt>
                      <c:pt idx="140">
                        <c:v>24450</c:v>
                      </c:pt>
                      <c:pt idx="141">
                        <c:v>24400</c:v>
                      </c:pt>
                      <c:pt idx="142">
                        <c:v>24400</c:v>
                      </c:pt>
                      <c:pt idx="143">
                        <c:v>24605</c:v>
                      </c:pt>
                      <c:pt idx="144">
                        <c:v>24545</c:v>
                      </c:pt>
                      <c:pt idx="145">
                        <c:v>24475</c:v>
                      </c:pt>
                      <c:pt idx="146">
                        <c:v>24360</c:v>
                      </c:pt>
                      <c:pt idx="147">
                        <c:v>24235</c:v>
                      </c:pt>
                      <c:pt idx="148">
                        <c:v>24320</c:v>
                      </c:pt>
                      <c:pt idx="149">
                        <c:v>24245</c:v>
                      </c:pt>
                      <c:pt idx="150">
                        <c:v>24275</c:v>
                      </c:pt>
                      <c:pt idx="151">
                        <c:v>24250</c:v>
                      </c:pt>
                      <c:pt idx="152">
                        <c:v>24240</c:v>
                      </c:pt>
                      <c:pt idx="153">
                        <c:v>24288</c:v>
                      </c:pt>
                      <c:pt idx="154">
                        <c:v>24340</c:v>
                      </c:pt>
                      <c:pt idx="155">
                        <c:v>24570</c:v>
                      </c:pt>
                      <c:pt idx="156">
                        <c:v>24590</c:v>
                      </c:pt>
                      <c:pt idx="157">
                        <c:v>24550</c:v>
                      </c:pt>
                      <c:pt idx="158">
                        <c:v>24435</c:v>
                      </c:pt>
                      <c:pt idx="159">
                        <c:v>24380</c:v>
                      </c:pt>
                      <c:pt idx="160">
                        <c:v>24385</c:v>
                      </c:pt>
                      <c:pt idx="161">
                        <c:v>24310</c:v>
                      </c:pt>
                      <c:pt idx="162">
                        <c:v>24220</c:v>
                      </c:pt>
                      <c:pt idx="163">
                        <c:v>24060</c:v>
                      </c:pt>
                      <c:pt idx="164">
                        <c:v>24060</c:v>
                      </c:pt>
                      <c:pt idx="165">
                        <c:v>23995</c:v>
                      </c:pt>
                      <c:pt idx="166">
                        <c:v>23850</c:v>
                      </c:pt>
                      <c:pt idx="167">
                        <c:v>23740</c:v>
                      </c:pt>
                      <c:pt idx="168">
                        <c:v>23750</c:v>
                      </c:pt>
                      <c:pt idx="169">
                        <c:v>23661</c:v>
                      </c:pt>
                      <c:pt idx="170">
                        <c:v>23647</c:v>
                      </c:pt>
                      <c:pt idx="171">
                        <c:v>23665</c:v>
                      </c:pt>
                      <c:pt idx="172">
                        <c:v>23710</c:v>
                      </c:pt>
                      <c:pt idx="173">
                        <c:v>23569</c:v>
                      </c:pt>
                      <c:pt idx="174">
                        <c:v>23515</c:v>
                      </c:pt>
                      <c:pt idx="175">
                        <c:v>23525</c:v>
                      </c:pt>
                      <c:pt idx="176">
                        <c:v>23490</c:v>
                      </c:pt>
                      <c:pt idx="177">
                        <c:v>23485</c:v>
                      </c:pt>
                      <c:pt idx="178">
                        <c:v>23470</c:v>
                      </c:pt>
                      <c:pt idx="179">
                        <c:v>23450</c:v>
                      </c:pt>
                      <c:pt idx="180">
                        <c:v>23465</c:v>
                      </c:pt>
                      <c:pt idx="181">
                        <c:v>23445</c:v>
                      </c:pt>
                      <c:pt idx="182">
                        <c:v>23445</c:v>
                      </c:pt>
                      <c:pt idx="183">
                        <c:v>23488</c:v>
                      </c:pt>
                      <c:pt idx="184">
                        <c:v>23440</c:v>
                      </c:pt>
                      <c:pt idx="185">
                        <c:v>23451</c:v>
                      </c:pt>
                      <c:pt idx="186">
                        <c:v>23470</c:v>
                      </c:pt>
                      <c:pt idx="187">
                        <c:v>23490</c:v>
                      </c:pt>
                      <c:pt idx="188">
                        <c:v>23560</c:v>
                      </c:pt>
                      <c:pt idx="189">
                        <c:v>23680</c:v>
                      </c:pt>
                      <c:pt idx="190">
                        <c:v>23700</c:v>
                      </c:pt>
                      <c:pt idx="191">
                        <c:v>23815</c:v>
                      </c:pt>
                      <c:pt idx="192">
                        <c:v>23680</c:v>
                      </c:pt>
                      <c:pt idx="193">
                        <c:v>23560</c:v>
                      </c:pt>
                      <c:pt idx="194">
                        <c:v>23449</c:v>
                      </c:pt>
                      <c:pt idx="195">
                        <c:v>23440</c:v>
                      </c:pt>
                      <c:pt idx="196">
                        <c:v>23440</c:v>
                      </c:pt>
                      <c:pt idx="197">
                        <c:v>23438</c:v>
                      </c:pt>
                      <c:pt idx="198">
                        <c:v>23475</c:v>
                      </c:pt>
                      <c:pt idx="199">
                        <c:v>23600</c:v>
                      </c:pt>
                      <c:pt idx="200">
                        <c:v>23630</c:v>
                      </c:pt>
                      <c:pt idx="201">
                        <c:v>23500</c:v>
                      </c:pt>
                      <c:pt idx="202">
                        <c:v>23780</c:v>
                      </c:pt>
                      <c:pt idx="203">
                        <c:v>24500</c:v>
                      </c:pt>
                      <c:pt idx="204">
                        <c:v>24833</c:v>
                      </c:pt>
                      <c:pt idx="205">
                        <c:v>24805</c:v>
                      </c:pt>
                      <c:pt idx="206">
                        <c:v>24862</c:v>
                      </c:pt>
                      <c:pt idx="207">
                        <c:v>24860</c:v>
                      </c:pt>
                      <c:pt idx="208">
                        <c:v>24830</c:v>
                      </c:pt>
                      <c:pt idx="209">
                        <c:v>24530</c:v>
                      </c:pt>
                      <c:pt idx="210">
                        <c:v>24120</c:v>
                      </c:pt>
                      <c:pt idx="211">
                        <c:v>23870</c:v>
                      </c:pt>
                      <c:pt idx="212">
                        <c:v>23820</c:v>
                      </c:pt>
                      <c:pt idx="213">
                        <c:v>23700</c:v>
                      </c:pt>
                      <c:pt idx="214">
                        <c:v>23620</c:v>
                      </c:pt>
                      <c:pt idx="215">
                        <c:v>23542</c:v>
                      </c:pt>
                      <c:pt idx="216">
                        <c:v>23450</c:v>
                      </c:pt>
                      <c:pt idx="217">
                        <c:v>23423</c:v>
                      </c:pt>
                      <c:pt idx="218">
                        <c:v>23401</c:v>
                      </c:pt>
                      <c:pt idx="219">
                        <c:v>23390</c:v>
                      </c:pt>
                      <c:pt idx="220">
                        <c:v>23393</c:v>
                      </c:pt>
                      <c:pt idx="221">
                        <c:v>23358</c:v>
                      </c:pt>
                      <c:pt idx="222">
                        <c:v>23410</c:v>
                      </c:pt>
                      <c:pt idx="223">
                        <c:v>23388</c:v>
                      </c:pt>
                      <c:pt idx="224">
                        <c:v>23350</c:v>
                      </c:pt>
                      <c:pt idx="225">
                        <c:v>23255</c:v>
                      </c:pt>
                      <c:pt idx="226">
                        <c:v>23244</c:v>
                      </c:pt>
                      <c:pt idx="227">
                        <c:v>23232</c:v>
                      </c:pt>
                      <c:pt idx="228">
                        <c:v>23187</c:v>
                      </c:pt>
                      <c:pt idx="229">
                        <c:v>23193</c:v>
                      </c:pt>
                      <c:pt idx="230">
                        <c:v>23190</c:v>
                      </c:pt>
                      <c:pt idx="231">
                        <c:v>23140</c:v>
                      </c:pt>
                      <c:pt idx="232">
                        <c:v>23096</c:v>
                      </c:pt>
                      <c:pt idx="233">
                        <c:v>22955</c:v>
                      </c:pt>
                      <c:pt idx="234">
                        <c:v>22956</c:v>
                      </c:pt>
                      <c:pt idx="235">
                        <c:v>22962</c:v>
                      </c:pt>
                      <c:pt idx="236">
                        <c:v>22900</c:v>
                      </c:pt>
                      <c:pt idx="237">
                        <c:v>22859</c:v>
                      </c:pt>
                      <c:pt idx="238">
                        <c:v>22838</c:v>
                      </c:pt>
                      <c:pt idx="239">
                        <c:v>22869</c:v>
                      </c:pt>
                      <c:pt idx="240">
                        <c:v>22865</c:v>
                      </c:pt>
                      <c:pt idx="241">
                        <c:v>22835</c:v>
                      </c:pt>
                      <c:pt idx="242">
                        <c:v>22835</c:v>
                      </c:pt>
                      <c:pt idx="243">
                        <c:v>22840</c:v>
                      </c:pt>
                      <c:pt idx="244">
                        <c:v>22785</c:v>
                      </c:pt>
                      <c:pt idx="245">
                        <c:v>22680</c:v>
                      </c:pt>
                      <c:pt idx="246">
                        <c:v>22645</c:v>
                      </c:pt>
                      <c:pt idx="247">
                        <c:v>22630</c:v>
                      </c:pt>
                      <c:pt idx="248">
                        <c:v>22645</c:v>
                      </c:pt>
                      <c:pt idx="249">
                        <c:v>22710</c:v>
                      </c:pt>
                      <c:pt idx="250">
                        <c:v>22745</c:v>
                      </c:pt>
                      <c:pt idx="251">
                        <c:v>22765</c:v>
                      </c:pt>
                      <c:pt idx="252">
                        <c:v>22950</c:v>
                      </c:pt>
                      <c:pt idx="253">
                        <c:v>22990</c:v>
                      </c:pt>
                      <c:pt idx="254">
                        <c:v>22980</c:v>
                      </c:pt>
                      <c:pt idx="255">
                        <c:v>22730</c:v>
                      </c:pt>
                      <c:pt idx="256">
                        <c:v>22670</c:v>
                      </c:pt>
                      <c:pt idx="257">
                        <c:v>22650</c:v>
                      </c:pt>
                      <c:pt idx="258">
                        <c:v>22660</c:v>
                      </c:pt>
                      <c:pt idx="259">
                        <c:v>22680</c:v>
                      </c:pt>
                      <c:pt idx="260">
                        <c:v>22750</c:v>
                      </c:pt>
                      <c:pt idx="261">
                        <c:v>22750</c:v>
                      </c:pt>
                      <c:pt idx="262">
                        <c:v>22757</c:v>
                      </c:pt>
                      <c:pt idx="263">
                        <c:v>22750</c:v>
                      </c:pt>
                      <c:pt idx="264">
                        <c:v>22750</c:v>
                      </c:pt>
                      <c:pt idx="265">
                        <c:v>22762</c:v>
                      </c:pt>
                      <c:pt idx="266">
                        <c:v>22753</c:v>
                      </c:pt>
                      <c:pt idx="267">
                        <c:v>22765</c:v>
                      </c:pt>
                      <c:pt idx="268">
                        <c:v>22760</c:v>
                      </c:pt>
                      <c:pt idx="269">
                        <c:v>22785</c:v>
                      </c:pt>
                      <c:pt idx="270">
                        <c:v>22812</c:v>
                      </c:pt>
                      <c:pt idx="271">
                        <c:v>22805</c:v>
                      </c:pt>
                      <c:pt idx="272">
                        <c:v>22945</c:v>
                      </c:pt>
                      <c:pt idx="273">
                        <c:v>22965</c:v>
                      </c:pt>
                      <c:pt idx="274">
                        <c:v>23010</c:v>
                      </c:pt>
                      <c:pt idx="275">
                        <c:v>23009</c:v>
                      </c:pt>
                      <c:pt idx="276">
                        <c:v>23007</c:v>
                      </c:pt>
                      <c:pt idx="277">
                        <c:v>23010</c:v>
                      </c:pt>
                      <c:pt idx="278">
                        <c:v>23003</c:v>
                      </c:pt>
                      <c:pt idx="279">
                        <c:v>22960</c:v>
                      </c:pt>
                      <c:pt idx="280">
                        <c:v>22947</c:v>
                      </c:pt>
                      <c:pt idx="281">
                        <c:v>23041</c:v>
                      </c:pt>
                      <c:pt idx="282">
                        <c:v>23045</c:v>
                      </c:pt>
                      <c:pt idx="283">
                        <c:v>23045</c:v>
                      </c:pt>
                      <c:pt idx="284">
                        <c:v>23053</c:v>
                      </c:pt>
                      <c:pt idx="285">
                        <c:v>23067</c:v>
                      </c:pt>
                      <c:pt idx="286">
                        <c:v>23054</c:v>
                      </c:pt>
                      <c:pt idx="287">
                        <c:v>23070</c:v>
                      </c:pt>
                      <c:pt idx="288">
                        <c:v>23073</c:v>
                      </c:pt>
                      <c:pt idx="289">
                        <c:v>23085</c:v>
                      </c:pt>
                      <c:pt idx="290">
                        <c:v>23065</c:v>
                      </c:pt>
                      <c:pt idx="291">
                        <c:v>23084</c:v>
                      </c:pt>
                      <c:pt idx="292">
                        <c:v>23065</c:v>
                      </c:pt>
                      <c:pt idx="293">
                        <c:v>23051</c:v>
                      </c:pt>
                      <c:pt idx="294">
                        <c:v>23019</c:v>
                      </c:pt>
                      <c:pt idx="295">
                        <c:v>23025</c:v>
                      </c:pt>
                      <c:pt idx="296">
                        <c:v>23015</c:v>
                      </c:pt>
                      <c:pt idx="297">
                        <c:v>23010</c:v>
                      </c:pt>
                      <c:pt idx="298">
                        <c:v>23015</c:v>
                      </c:pt>
                      <c:pt idx="299">
                        <c:v>23059</c:v>
                      </c:pt>
                      <c:pt idx="300">
                        <c:v>23060</c:v>
                      </c:pt>
                      <c:pt idx="301">
                        <c:v>23064</c:v>
                      </c:pt>
                      <c:pt idx="302">
                        <c:v>23090</c:v>
                      </c:pt>
                      <c:pt idx="303">
                        <c:v>23088</c:v>
                      </c:pt>
                      <c:pt idx="304">
                        <c:v>23130</c:v>
                      </c:pt>
                      <c:pt idx="305">
                        <c:v>23120</c:v>
                      </c:pt>
                      <c:pt idx="306">
                        <c:v>23128</c:v>
                      </c:pt>
                      <c:pt idx="307">
                        <c:v>23125</c:v>
                      </c:pt>
                      <c:pt idx="308">
                        <c:v>23164</c:v>
                      </c:pt>
                      <c:pt idx="309">
                        <c:v>23176</c:v>
                      </c:pt>
                      <c:pt idx="310">
                        <c:v>23175</c:v>
                      </c:pt>
                      <c:pt idx="311">
                        <c:v>23175</c:v>
                      </c:pt>
                      <c:pt idx="312">
                        <c:v>23170</c:v>
                      </c:pt>
                      <c:pt idx="313">
                        <c:v>23176</c:v>
                      </c:pt>
                      <c:pt idx="314">
                        <c:v>23170</c:v>
                      </c:pt>
                      <c:pt idx="315">
                        <c:v>23191</c:v>
                      </c:pt>
                      <c:pt idx="316">
                        <c:v>23188</c:v>
                      </c:pt>
                      <c:pt idx="317">
                        <c:v>23184</c:v>
                      </c:pt>
                      <c:pt idx="318">
                        <c:v>23170</c:v>
                      </c:pt>
                      <c:pt idx="319">
                        <c:v>23172.5</c:v>
                      </c:pt>
                      <c:pt idx="320">
                        <c:v>23174</c:v>
                      </c:pt>
                      <c:pt idx="321">
                        <c:v>23174</c:v>
                      </c:pt>
                      <c:pt idx="322">
                        <c:v>23174</c:v>
                      </c:pt>
                      <c:pt idx="323">
                        <c:v>23174</c:v>
                      </c:pt>
                      <c:pt idx="324">
                        <c:v>23173</c:v>
                      </c:pt>
                      <c:pt idx="325">
                        <c:v>23175</c:v>
                      </c:pt>
                      <c:pt idx="326">
                        <c:v>23184</c:v>
                      </c:pt>
                      <c:pt idx="327">
                        <c:v>23183</c:v>
                      </c:pt>
                      <c:pt idx="328">
                        <c:v>23184</c:v>
                      </c:pt>
                      <c:pt idx="329">
                        <c:v>23202</c:v>
                      </c:pt>
                      <c:pt idx="330">
                        <c:v>23208</c:v>
                      </c:pt>
                      <c:pt idx="331">
                        <c:v>23210</c:v>
                      </c:pt>
                      <c:pt idx="332">
                        <c:v>23215</c:v>
                      </c:pt>
                      <c:pt idx="333">
                        <c:v>23263</c:v>
                      </c:pt>
                      <c:pt idx="334">
                        <c:v>23300</c:v>
                      </c:pt>
                      <c:pt idx="335">
                        <c:v>23270</c:v>
                      </c:pt>
                      <c:pt idx="336">
                        <c:v>23350</c:v>
                      </c:pt>
                      <c:pt idx="337">
                        <c:v>23425</c:v>
                      </c:pt>
                      <c:pt idx="338">
                        <c:v>23428</c:v>
                      </c:pt>
                      <c:pt idx="339">
                        <c:v>23485</c:v>
                      </c:pt>
                      <c:pt idx="340">
                        <c:v>23440</c:v>
                      </c:pt>
                      <c:pt idx="341">
                        <c:v>23488</c:v>
                      </c:pt>
                      <c:pt idx="342">
                        <c:v>23590</c:v>
                      </c:pt>
                      <c:pt idx="343">
                        <c:v>23620</c:v>
                      </c:pt>
                      <c:pt idx="344">
                        <c:v>23354</c:v>
                      </c:pt>
                      <c:pt idx="345">
                        <c:v>23195</c:v>
                      </c:pt>
                      <c:pt idx="346">
                        <c:v>23210</c:v>
                      </c:pt>
                      <c:pt idx="347">
                        <c:v>23240</c:v>
                      </c:pt>
                      <c:pt idx="348">
                        <c:v>23236</c:v>
                      </c:pt>
                      <c:pt idx="349">
                        <c:v>23239</c:v>
                      </c:pt>
                      <c:pt idx="350">
                        <c:v>23221</c:v>
                      </c:pt>
                      <c:pt idx="351">
                        <c:v>23222</c:v>
                      </c:pt>
                      <c:pt idx="352">
                        <c:v>23169</c:v>
                      </c:pt>
                      <c:pt idx="353">
                        <c:v>23171</c:v>
                      </c:pt>
                      <c:pt idx="354">
                        <c:v>23173</c:v>
                      </c:pt>
                      <c:pt idx="355">
                        <c:v>23168</c:v>
                      </c:pt>
                      <c:pt idx="356">
                        <c:v>23174</c:v>
                      </c:pt>
                      <c:pt idx="357">
                        <c:v>23169</c:v>
                      </c:pt>
                      <c:pt idx="358">
                        <c:v>23169</c:v>
                      </c:pt>
                      <c:pt idx="359">
                        <c:v>23167</c:v>
                      </c:pt>
                      <c:pt idx="360">
                        <c:v>23200</c:v>
                      </c:pt>
                      <c:pt idx="361">
                        <c:v>23193</c:v>
                      </c:pt>
                      <c:pt idx="362">
                        <c:v>23200</c:v>
                      </c:pt>
                      <c:pt idx="363">
                        <c:v>23199</c:v>
                      </c:pt>
                      <c:pt idx="364">
                        <c:v>23202</c:v>
                      </c:pt>
                      <c:pt idx="365">
                        <c:v>23203</c:v>
                      </c:pt>
                      <c:pt idx="366">
                        <c:v>23200</c:v>
                      </c:pt>
                      <c:pt idx="367">
                        <c:v>23200</c:v>
                      </c:pt>
                      <c:pt idx="368">
                        <c:v>23200</c:v>
                      </c:pt>
                      <c:pt idx="369">
                        <c:v>23211</c:v>
                      </c:pt>
                      <c:pt idx="370">
                        <c:v>23205</c:v>
                      </c:pt>
                      <c:pt idx="371">
                        <c:v>23198</c:v>
                      </c:pt>
                      <c:pt idx="372">
                        <c:v>23206</c:v>
                      </c:pt>
                      <c:pt idx="373">
                        <c:v>23200</c:v>
                      </c:pt>
                      <c:pt idx="374">
                        <c:v>23220</c:v>
                      </c:pt>
                      <c:pt idx="375">
                        <c:v>23200</c:v>
                      </c:pt>
                      <c:pt idx="376">
                        <c:v>23209</c:v>
                      </c:pt>
                      <c:pt idx="377">
                        <c:v>23214</c:v>
                      </c:pt>
                      <c:pt idx="378">
                        <c:v>23200</c:v>
                      </c:pt>
                      <c:pt idx="379">
                        <c:v>23240</c:v>
                      </c:pt>
                      <c:pt idx="380">
                        <c:v>23310</c:v>
                      </c:pt>
                      <c:pt idx="381">
                        <c:v>23295</c:v>
                      </c:pt>
                      <c:pt idx="382">
                        <c:v>23402</c:v>
                      </c:pt>
                      <c:pt idx="383">
                        <c:v>23406</c:v>
                      </c:pt>
                      <c:pt idx="384">
                        <c:v>23388</c:v>
                      </c:pt>
                      <c:pt idx="385">
                        <c:v>23260</c:v>
                      </c:pt>
                      <c:pt idx="386">
                        <c:v>23215</c:v>
                      </c:pt>
                      <c:pt idx="387">
                        <c:v>23203</c:v>
                      </c:pt>
                      <c:pt idx="388">
                        <c:v>23196</c:v>
                      </c:pt>
                      <c:pt idx="389">
                        <c:v>23198</c:v>
                      </c:pt>
                      <c:pt idx="390">
                        <c:v>23200</c:v>
                      </c:pt>
                      <c:pt idx="391">
                        <c:v>23200</c:v>
                      </c:pt>
                      <c:pt idx="392">
                        <c:v>23198</c:v>
                      </c:pt>
                      <c:pt idx="393">
                        <c:v>23197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264-4DA7-A5E6-9256AAE1C46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HISTORICAL!$E$1</c15:sqref>
                        </c15:formulaRef>
                      </c:ext>
                    </c:extLst>
                    <c:strCache>
                      <c:ptCount val="1"/>
                      <c:pt idx="0">
                        <c:v>FOB ($)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HISTORICAL!$A$2:$A$200</c15:sqref>
                        </c15:formulaRef>
                      </c:ext>
                    </c:extLst>
                    <c:numCache>
                      <c:formatCode>m/d/yyyy</c:formatCode>
                      <c:ptCount val="199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HISTORICAL!$E$2:$E$395</c15:sqref>
                        </c15:formulaRef>
                      </c:ext>
                    </c:extLst>
                    <c:numCache>
                      <c:formatCode>General</c:formatCode>
                      <c:ptCount val="394"/>
                      <c:pt idx="0">
                        <c:v>3151</c:v>
                      </c:pt>
                      <c:pt idx="1">
                        <c:v>3564</c:v>
                      </c:pt>
                      <c:pt idx="2">
                        <c:v>3618</c:v>
                      </c:pt>
                      <c:pt idx="3">
                        <c:v>3643</c:v>
                      </c:pt>
                      <c:pt idx="4">
                        <c:v>3530</c:v>
                      </c:pt>
                      <c:pt idx="5">
                        <c:v>3611</c:v>
                      </c:pt>
                      <c:pt idx="6">
                        <c:v>3754</c:v>
                      </c:pt>
                      <c:pt idx="7">
                        <c:v>3574</c:v>
                      </c:pt>
                      <c:pt idx="8">
                        <c:v>3775</c:v>
                      </c:pt>
                      <c:pt idx="9">
                        <c:v>3926</c:v>
                      </c:pt>
                      <c:pt idx="10">
                        <c:v>3844</c:v>
                      </c:pt>
                      <c:pt idx="11">
                        <c:v>3967</c:v>
                      </c:pt>
                      <c:pt idx="12">
                        <c:v>3941</c:v>
                      </c:pt>
                      <c:pt idx="13">
                        <c:v>3888</c:v>
                      </c:pt>
                      <c:pt idx="14">
                        <c:v>3997</c:v>
                      </c:pt>
                      <c:pt idx="15">
                        <c:v>4233</c:v>
                      </c:pt>
                      <c:pt idx="16">
                        <c:v>3983</c:v>
                      </c:pt>
                      <c:pt idx="17">
                        <c:v>3902</c:v>
                      </c:pt>
                      <c:pt idx="18">
                        <c:v>3869</c:v>
                      </c:pt>
                      <c:pt idx="19">
                        <c:v>3655</c:v>
                      </c:pt>
                      <c:pt idx="20">
                        <c:v>3550</c:v>
                      </c:pt>
                      <c:pt idx="21">
                        <c:v>3695</c:v>
                      </c:pt>
                      <c:pt idx="22">
                        <c:v>3679</c:v>
                      </c:pt>
                      <c:pt idx="23">
                        <c:v>3810</c:v>
                      </c:pt>
                      <c:pt idx="24">
                        <c:v>3693</c:v>
                      </c:pt>
                      <c:pt idx="25">
                        <c:v>3641</c:v>
                      </c:pt>
                      <c:pt idx="26">
                        <c:v>3757</c:v>
                      </c:pt>
                      <c:pt idx="27">
                        <c:v>3614</c:v>
                      </c:pt>
                      <c:pt idx="28">
                        <c:v>3419</c:v>
                      </c:pt>
                      <c:pt idx="29">
                        <c:v>3526</c:v>
                      </c:pt>
                      <c:pt idx="30">
                        <c:v>3702</c:v>
                      </c:pt>
                      <c:pt idx="31">
                        <c:v>3869</c:v>
                      </c:pt>
                      <c:pt idx="32">
                        <c:v>3753</c:v>
                      </c:pt>
                      <c:pt idx="33">
                        <c:v>3951</c:v>
                      </c:pt>
                      <c:pt idx="34">
                        <c:v>3799</c:v>
                      </c:pt>
                      <c:pt idx="35">
                        <c:v>3780</c:v>
                      </c:pt>
                      <c:pt idx="36">
                        <c:v>3905</c:v>
                      </c:pt>
                      <c:pt idx="37">
                        <c:v>3869</c:v>
                      </c:pt>
                      <c:pt idx="38">
                        <c:v>4176</c:v>
                      </c:pt>
                      <c:pt idx="39">
                        <c:v>4106</c:v>
                      </c:pt>
                      <c:pt idx="40">
                        <c:v>4063</c:v>
                      </c:pt>
                      <c:pt idx="41">
                        <c:v>4008</c:v>
                      </c:pt>
                      <c:pt idx="42">
                        <c:v>4009</c:v>
                      </c:pt>
                      <c:pt idx="43">
                        <c:v>3898</c:v>
                      </c:pt>
                      <c:pt idx="44">
                        <c:v>3737</c:v>
                      </c:pt>
                      <c:pt idx="45">
                        <c:v>4167</c:v>
                      </c:pt>
                      <c:pt idx="46">
                        <c:v>4312</c:v>
                      </c:pt>
                      <c:pt idx="47">
                        <c:v>4539</c:v>
                      </c:pt>
                      <c:pt idx="48">
                        <c:v>4781</c:v>
                      </c:pt>
                      <c:pt idx="49">
                        <c:v>4493</c:v>
                      </c:pt>
                      <c:pt idx="50">
                        <c:v>4680</c:v>
                      </c:pt>
                      <c:pt idx="51">
                        <c:v>4791</c:v>
                      </c:pt>
                      <c:pt idx="52">
                        <c:v>4671</c:v>
                      </c:pt>
                      <c:pt idx="53">
                        <c:v>4674</c:v>
                      </c:pt>
                      <c:pt idx="54">
                        <c:v>4642</c:v>
                      </c:pt>
                      <c:pt idx="55">
                        <c:v>4545</c:v>
                      </c:pt>
                      <c:pt idx="56">
                        <c:v>4282</c:v>
                      </c:pt>
                      <c:pt idx="57">
                        <c:v>4767</c:v>
                      </c:pt>
                      <c:pt idx="58">
                        <c:v>4971</c:v>
                      </c:pt>
                      <c:pt idx="59">
                        <c:v>4914</c:v>
                      </c:pt>
                      <c:pt idx="60">
                        <c:v>5408</c:v>
                      </c:pt>
                      <c:pt idx="61">
                        <c:v>5070</c:v>
                      </c:pt>
                      <c:pt idx="62">
                        <c:v>4502</c:v>
                      </c:pt>
                      <c:pt idx="63">
                        <c:v>3927</c:v>
                      </c:pt>
                      <c:pt idx="64">
                        <c:v>3701</c:v>
                      </c:pt>
                      <c:pt idx="65">
                        <c:v>3699</c:v>
                      </c:pt>
                      <c:pt idx="66">
                        <c:v>3612</c:v>
                      </c:pt>
                      <c:pt idx="67">
                        <c:v>3570</c:v>
                      </c:pt>
                      <c:pt idx="68">
                        <c:v>3827</c:v>
                      </c:pt>
                      <c:pt idx="69">
                        <c:v>3865</c:v>
                      </c:pt>
                      <c:pt idx="70">
                        <c:v>4017</c:v>
                      </c:pt>
                      <c:pt idx="71">
                        <c:v>4444</c:v>
                      </c:pt>
                      <c:pt idx="72">
                        <c:v>4575</c:v>
                      </c:pt>
                      <c:pt idx="73">
                        <c:v>4666</c:v>
                      </c:pt>
                      <c:pt idx="74">
                        <c:v>4953</c:v>
                      </c:pt>
                      <c:pt idx="75">
                        <c:v>5081</c:v>
                      </c:pt>
                      <c:pt idx="76">
                        <c:v>5386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5437</c:v>
                      </c:pt>
                      <c:pt idx="80">
                        <c:v>5036</c:v>
                      </c:pt>
                      <c:pt idx="81">
                        <c:v>5508</c:v>
                      </c:pt>
                      <c:pt idx="82">
                        <c:v>5481</c:v>
                      </c:pt>
                      <c:pt idx="83">
                        <c:v>5547</c:v>
                      </c:pt>
                      <c:pt idx="84">
                        <c:v>5518</c:v>
                      </c:pt>
                      <c:pt idx="85">
                        <c:v>5407</c:v>
                      </c:pt>
                      <c:pt idx="86">
                        <c:v>5356</c:v>
                      </c:pt>
                      <c:pt idx="87">
                        <c:v>5575</c:v>
                      </c:pt>
                      <c:pt idx="88">
                        <c:v>5828</c:v>
                      </c:pt>
                      <c:pt idx="89">
                        <c:v>5686</c:v>
                      </c:pt>
                      <c:pt idx="90">
                        <c:v>5749</c:v>
                      </c:pt>
                      <c:pt idx="91">
                        <c:v>5522</c:v>
                      </c:pt>
                      <c:pt idx="92">
                        <c:v>4929</c:v>
                      </c:pt>
                      <c:pt idx="93">
                        <c:v>5029</c:v>
                      </c:pt>
                      <c:pt idx="94">
                        <c:v>5136</c:v>
                      </c:pt>
                      <c:pt idx="95">
                        <c:v>5146</c:v>
                      </c:pt>
                      <c:pt idx="96">
                        <c:v>5146</c:v>
                      </c:pt>
                      <c:pt idx="97">
                        <c:v>5252</c:v>
                      </c:pt>
                      <c:pt idx="98">
                        <c:v>4953</c:v>
                      </c:pt>
                      <c:pt idx="99">
                        <c:v>5628</c:v>
                      </c:pt>
                      <c:pt idx="100">
                        <c:v>5007</c:v>
                      </c:pt>
                      <c:pt idx="101">
                        <c:v>4997</c:v>
                      </c:pt>
                      <c:pt idx="102">
                        <c:v>4736</c:v>
                      </c:pt>
                      <c:pt idx="103">
                        <c:v>4769</c:v>
                      </c:pt>
                      <c:pt idx="104">
                        <c:v>4687</c:v>
                      </c:pt>
                      <c:pt idx="105">
                        <c:v>4858</c:v>
                      </c:pt>
                      <c:pt idx="106">
                        <c:v>5002</c:v>
                      </c:pt>
                      <c:pt idx="107">
                        <c:v>4970</c:v>
                      </c:pt>
                      <c:pt idx="108">
                        <c:v>5492</c:v>
                      </c:pt>
                      <c:pt idx="109">
                        <c:v>5548</c:v>
                      </c:pt>
                      <c:pt idx="110">
                        <c:v>5627</c:v>
                      </c:pt>
                      <c:pt idx="111">
                        <c:v>5511</c:v>
                      </c:pt>
                      <c:pt idx="112">
                        <c:v>5651</c:v>
                      </c:pt>
                      <c:pt idx="113">
                        <c:v>5394</c:v>
                      </c:pt>
                      <c:pt idx="114">
                        <c:v>5302</c:v>
                      </c:pt>
                      <c:pt idx="115">
                        <c:v>5103</c:v>
                      </c:pt>
                      <c:pt idx="116">
                        <c:v>4933</c:v>
                      </c:pt>
                      <c:pt idx="117">
                        <c:v>5245</c:v>
                      </c:pt>
                      <c:pt idx="118">
                        <c:v>5379</c:v>
                      </c:pt>
                      <c:pt idx="119">
                        <c:v>5377</c:v>
                      </c:pt>
                      <c:pt idx="120">
                        <c:v>4938</c:v>
                      </c:pt>
                      <c:pt idx="121">
                        <c:v>4897</c:v>
                      </c:pt>
                      <c:pt idx="122">
                        <c:v>5076</c:v>
                      </c:pt>
                      <c:pt idx="123">
                        <c:v>5043</c:v>
                      </c:pt>
                      <c:pt idx="124">
                        <c:v>5244</c:v>
                      </c:pt>
                      <c:pt idx="125">
                        <c:v>5081</c:v>
                      </c:pt>
                      <c:pt idx="126">
                        <c:v>4819</c:v>
                      </c:pt>
                      <c:pt idx="127">
                        <c:v>4420</c:v>
                      </c:pt>
                      <c:pt idx="128">
                        <c:v>4390</c:v>
                      </c:pt>
                      <c:pt idx="129">
                        <c:v>4560</c:v>
                      </c:pt>
                      <c:pt idx="130">
                        <c:v>5134</c:v>
                      </c:pt>
                      <c:pt idx="131">
                        <c:v>4892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4176</c:v>
                      </c:pt>
                      <c:pt idx="135">
                        <c:v>4135</c:v>
                      </c:pt>
                      <c:pt idx="136">
                        <c:v>3957</c:v>
                      </c:pt>
                      <c:pt idx="137">
                        <c:v>4031</c:v>
                      </c:pt>
                      <c:pt idx="138">
                        <c:v>3695</c:v>
                      </c:pt>
                      <c:pt idx="139">
                        <c:v>3533</c:v>
                      </c:pt>
                      <c:pt idx="140">
                        <c:v>3508</c:v>
                      </c:pt>
                      <c:pt idx="141">
                        <c:v>3429</c:v>
                      </c:pt>
                      <c:pt idx="142">
                        <c:v>3431</c:v>
                      </c:pt>
                      <c:pt idx="143">
                        <c:v>3501</c:v>
                      </c:pt>
                      <c:pt idx="144">
                        <c:v>3313</c:v>
                      </c:pt>
                      <c:pt idx="145">
                        <c:v>3218</c:v>
                      </c:pt>
                      <c:pt idx="146">
                        <c:v>3016</c:v>
                      </c:pt>
                      <c:pt idx="147">
                        <c:v>3196</c:v>
                      </c:pt>
                      <c:pt idx="148">
                        <c:v>3224</c:v>
                      </c:pt>
                      <c:pt idx="149">
                        <c:v>3027</c:v>
                      </c:pt>
                      <c:pt idx="150">
                        <c:v>2741</c:v>
                      </c:pt>
                      <c:pt idx="151">
                        <c:v>2746</c:v>
                      </c:pt>
                      <c:pt idx="152">
                        <c:v>2721</c:v>
                      </c:pt>
                      <c:pt idx="153">
                        <c:v>2816</c:v>
                      </c:pt>
                      <c:pt idx="154">
                        <c:v>2730</c:v>
                      </c:pt>
                      <c:pt idx="155">
                        <c:v>2628</c:v>
                      </c:pt>
                      <c:pt idx="156">
                        <c:v>2780</c:v>
                      </c:pt>
                      <c:pt idx="157">
                        <c:v>2762</c:v>
                      </c:pt>
                      <c:pt idx="158">
                        <c:v>2635</c:v>
                      </c:pt>
                      <c:pt idx="159">
                        <c:v>2682</c:v>
                      </c:pt>
                      <c:pt idx="160">
                        <c:v>2772</c:v>
                      </c:pt>
                      <c:pt idx="161">
                        <c:v>2814</c:v>
                      </c:pt>
                      <c:pt idx="162">
                        <c:v>2845</c:v>
                      </c:pt>
                      <c:pt idx="163">
                        <c:v>2757</c:v>
                      </c:pt>
                      <c:pt idx="164">
                        <c:v>2839</c:v>
                      </c:pt>
                      <c:pt idx="165">
                        <c:v>2756</c:v>
                      </c:pt>
                      <c:pt idx="166">
                        <c:v>2761</c:v>
                      </c:pt>
                      <c:pt idx="167">
                        <c:v>2904</c:v>
                      </c:pt>
                      <c:pt idx="168">
                        <c:v>2886</c:v>
                      </c:pt>
                      <c:pt idx="169">
                        <c:v>2869</c:v>
                      </c:pt>
                      <c:pt idx="170">
                        <c:v>2886</c:v>
                      </c:pt>
                      <c:pt idx="171">
                        <c:v>2875</c:v>
                      </c:pt>
                      <c:pt idx="172">
                        <c:v>2830</c:v>
                      </c:pt>
                      <c:pt idx="173">
                        <c:v>2870</c:v>
                      </c:pt>
                      <c:pt idx="174">
                        <c:v>3049</c:v>
                      </c:pt>
                      <c:pt idx="175">
                        <c:v>3037</c:v>
                      </c:pt>
                      <c:pt idx="176">
                        <c:v>3006</c:v>
                      </c:pt>
                      <c:pt idx="177">
                        <c:v>2767</c:v>
                      </c:pt>
                      <c:pt idx="178">
                        <c:v>2608</c:v>
                      </c:pt>
                      <c:pt idx="179">
                        <c:v>2652</c:v>
                      </c:pt>
                      <c:pt idx="180">
                        <c:v>2561</c:v>
                      </c:pt>
                      <c:pt idx="181">
                        <c:v>2472</c:v>
                      </c:pt>
                      <c:pt idx="182">
                        <c:v>2465</c:v>
                      </c:pt>
                      <c:pt idx="183">
                        <c:v>2434</c:v>
                      </c:pt>
                      <c:pt idx="184">
                        <c:v>2442</c:v>
                      </c:pt>
                      <c:pt idx="185">
                        <c:v>2316</c:v>
                      </c:pt>
                      <c:pt idx="186">
                        <c:v>2231</c:v>
                      </c:pt>
                      <c:pt idx="187">
                        <c:v>2184</c:v>
                      </c:pt>
                      <c:pt idx="188">
                        <c:v>2134</c:v>
                      </c:pt>
                      <c:pt idx="189">
                        <c:v>2198</c:v>
                      </c:pt>
                      <c:pt idx="190">
                        <c:v>2200</c:v>
                      </c:pt>
                      <c:pt idx="191">
                        <c:v>2151</c:v>
                      </c:pt>
                      <c:pt idx="192">
                        <c:v>2062</c:v>
                      </c:pt>
                      <c:pt idx="193">
                        <c:v>2022</c:v>
                      </c:pt>
                      <c:pt idx="194">
                        <c:v>2064</c:v>
                      </c:pt>
                      <c:pt idx="195">
                        <c:v>1982</c:v>
                      </c:pt>
                      <c:pt idx="196">
                        <c:v>1948</c:v>
                      </c:pt>
                      <c:pt idx="197">
                        <c:v>1911</c:v>
                      </c:pt>
                      <c:pt idx="198">
                        <c:v>1862</c:v>
                      </c:pt>
                      <c:pt idx="199">
                        <c:v>1864</c:v>
                      </c:pt>
                      <c:pt idx="200">
                        <c:v>1918</c:v>
                      </c:pt>
                      <c:pt idx="201">
                        <c:v>1918</c:v>
                      </c:pt>
                      <c:pt idx="202">
                        <c:v>1876</c:v>
                      </c:pt>
                      <c:pt idx="203">
                        <c:v>1825</c:v>
                      </c:pt>
                      <c:pt idx="204">
                        <c:v>1812</c:v>
                      </c:pt>
                      <c:pt idx="205">
                        <c:v>1788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#N/A</c:v>
                      </c:pt>
                      <c:pt idx="294">
                        <c:v>#N/A</c:v>
                      </c:pt>
                      <c:pt idx="295">
                        <c:v>#N/A</c:v>
                      </c:pt>
                      <c:pt idx="296">
                        <c:v>#N/A</c:v>
                      </c:pt>
                      <c:pt idx="297">
                        <c:v>#N/A</c:v>
                      </c:pt>
                      <c:pt idx="298">
                        <c:v>#N/A</c:v>
                      </c:pt>
                      <c:pt idx="299">
                        <c:v>#N/A</c:v>
                      </c:pt>
                      <c:pt idx="300">
                        <c:v>#N/A</c:v>
                      </c:pt>
                      <c:pt idx="301">
                        <c:v>#N/A</c:v>
                      </c:pt>
                      <c:pt idx="302">
                        <c:v>#N/A</c:v>
                      </c:pt>
                      <c:pt idx="303">
                        <c:v>#N/A</c:v>
                      </c:pt>
                      <c:pt idx="304">
                        <c:v>#N/A</c:v>
                      </c:pt>
                      <c:pt idx="305">
                        <c:v>#N/A</c:v>
                      </c:pt>
                      <c:pt idx="306">
                        <c:v>1546</c:v>
                      </c:pt>
                      <c:pt idx="307">
                        <c:v>1541</c:v>
                      </c:pt>
                      <c:pt idx="308">
                        <c:v>1611</c:v>
                      </c:pt>
                      <c:pt idx="309">
                        <c:v>1571</c:v>
                      </c:pt>
                      <c:pt idx="310">
                        <c:v>1623</c:v>
                      </c:pt>
                      <c:pt idx="311">
                        <c:v>1549</c:v>
                      </c:pt>
                      <c:pt idx="312">
                        <c:v>1567</c:v>
                      </c:pt>
                      <c:pt idx="313">
                        <c:v>1537</c:v>
                      </c:pt>
                      <c:pt idx="314">
                        <c:v>1516</c:v>
                      </c:pt>
                      <c:pt idx="315">
                        <c:v>1491</c:v>
                      </c:pt>
                      <c:pt idx="316">
                        <c:v>1515</c:v>
                      </c:pt>
                      <c:pt idx="317">
                        <c:v>1542</c:v>
                      </c:pt>
                      <c:pt idx="318">
                        <c:v>1567</c:v>
                      </c:pt>
                      <c:pt idx="319">
                        <c:v>1583</c:v>
                      </c:pt>
                      <c:pt idx="320">
                        <c:v>1606</c:v>
                      </c:pt>
                      <c:pt idx="321">
                        <c:v>1605</c:v>
                      </c:pt>
                      <c:pt idx="322">
                        <c:v>1615</c:v>
                      </c:pt>
                      <c:pt idx="323">
                        <c:v>1652</c:v>
                      </c:pt>
                      <c:pt idx="324">
                        <c:v>1643</c:v>
                      </c:pt>
                      <c:pt idx="325">
                        <c:v>1646</c:v>
                      </c:pt>
                      <c:pt idx="326">
                        <c:v>1667</c:v>
                      </c:pt>
                      <c:pt idx="327">
                        <c:v>1536</c:v>
                      </c:pt>
                      <c:pt idx="328">
                        <c:v>1517</c:v>
                      </c:pt>
                      <c:pt idx="329">
                        <c:v>1512</c:v>
                      </c:pt>
                      <c:pt idx="330">
                        <c:v>1454</c:v>
                      </c:pt>
                      <c:pt idx="331">
                        <c:v>1464</c:v>
                      </c:pt>
                      <c:pt idx="332">
                        <c:v>1507</c:v>
                      </c:pt>
                      <c:pt idx="333">
                        <c:v>1490</c:v>
                      </c:pt>
                      <c:pt idx="334">
                        <c:v>1479</c:v>
                      </c:pt>
                      <c:pt idx="335">
                        <c:v>1466</c:v>
                      </c:pt>
                      <c:pt idx="336">
                        <c:v>1438</c:v>
                      </c:pt>
                      <c:pt idx="337">
                        <c:v>1456</c:v>
                      </c:pt>
                      <c:pt idx="338">
                        <c:v>1464</c:v>
                      </c:pt>
                      <c:pt idx="339">
                        <c:v>1420</c:v>
                      </c:pt>
                      <c:pt idx="340">
                        <c:v>1445</c:v>
                      </c:pt>
                      <c:pt idx="341">
                        <c:v>1439</c:v>
                      </c:pt>
                      <c:pt idx="342">
                        <c:v>1444</c:v>
                      </c:pt>
                      <c:pt idx="343">
                        <c:v>1468</c:v>
                      </c:pt>
                      <c:pt idx="344">
                        <c:v>1456</c:v>
                      </c:pt>
                      <c:pt idx="345">
                        <c:v>1449</c:v>
                      </c:pt>
                      <c:pt idx="346">
                        <c:v>1464</c:v>
                      </c:pt>
                      <c:pt idx="347">
                        <c:v>1479</c:v>
                      </c:pt>
                      <c:pt idx="348">
                        <c:v>1489</c:v>
                      </c:pt>
                      <c:pt idx="349">
                        <c:v>1501</c:v>
                      </c:pt>
                      <c:pt idx="350">
                        <c:v>1467</c:v>
                      </c:pt>
                      <c:pt idx="351">
                        <c:v>1492</c:v>
                      </c:pt>
                      <c:pt idx="352">
                        <c:v>1527</c:v>
                      </c:pt>
                      <c:pt idx="353">
                        <c:v>1444</c:v>
                      </c:pt>
                      <c:pt idx="354">
                        <c:v>1468</c:v>
                      </c:pt>
                      <c:pt idx="355">
                        <c:v>1520</c:v>
                      </c:pt>
                      <c:pt idx="356">
                        <c:v>1517</c:v>
                      </c:pt>
                      <c:pt idx="357">
                        <c:v>1517</c:v>
                      </c:pt>
                      <c:pt idx="358">
                        <c:v>1607</c:v>
                      </c:pt>
                      <c:pt idx="359">
                        <c:v>1561</c:v>
                      </c:pt>
                      <c:pt idx="360">
                        <c:v>1578</c:v>
                      </c:pt>
                      <c:pt idx="361">
                        <c:v>1602</c:v>
                      </c:pt>
                      <c:pt idx="362">
                        <c:v>1621</c:v>
                      </c:pt>
                      <c:pt idx="363">
                        <c:v>1578</c:v>
                      </c:pt>
                      <c:pt idx="364">
                        <c:v>1522</c:v>
                      </c:pt>
                      <c:pt idx="365">
                        <c:v>1467</c:v>
                      </c:pt>
                      <c:pt idx="366">
                        <c:v>1467</c:v>
                      </c:pt>
                      <c:pt idx="367">
                        <c:v>1511</c:v>
                      </c:pt>
                      <c:pt idx="368">
                        <c:v>1562</c:v>
                      </c:pt>
                      <c:pt idx="369">
                        <c:v>1550</c:v>
                      </c:pt>
                      <c:pt idx="370">
                        <c:v>1561</c:v>
                      </c:pt>
                      <c:pt idx="371">
                        <c:v>1502</c:v>
                      </c:pt>
                      <c:pt idx="372">
                        <c:v>1581</c:v>
                      </c:pt>
                      <c:pt idx="373">
                        <c:v>1578</c:v>
                      </c:pt>
                      <c:pt idx="374">
                        <c:v>1568</c:v>
                      </c:pt>
                      <c:pt idx="375">
                        <c:v>1525</c:v>
                      </c:pt>
                      <c:pt idx="376">
                        <c:v>1528</c:v>
                      </c:pt>
                      <c:pt idx="377">
                        <c:v>1597</c:v>
                      </c:pt>
                      <c:pt idx="378">
                        <c:v>1597</c:v>
                      </c:pt>
                      <c:pt idx="379">
                        <c:v>1644</c:v>
                      </c:pt>
                      <c:pt idx="380">
                        <c:v>1600</c:v>
                      </c:pt>
                      <c:pt idx="381">
                        <c:v>1569</c:v>
                      </c:pt>
                      <c:pt idx="382">
                        <c:v>1535</c:v>
                      </c:pt>
                      <c:pt idx="383">
                        <c:v>1510</c:v>
                      </c:pt>
                      <c:pt idx="384">
                        <c:v>1449</c:v>
                      </c:pt>
                      <c:pt idx="385">
                        <c:v>1414</c:v>
                      </c:pt>
                      <c:pt idx="386">
                        <c:v>1440</c:v>
                      </c:pt>
                      <c:pt idx="387">
                        <c:v>1466</c:v>
                      </c:pt>
                      <c:pt idx="388">
                        <c:v>1471</c:v>
                      </c:pt>
                      <c:pt idx="389">
                        <c:v>1495</c:v>
                      </c:pt>
                      <c:pt idx="390">
                        <c:v>1522</c:v>
                      </c:pt>
                      <c:pt idx="391">
                        <c:v>1533</c:v>
                      </c:pt>
                      <c:pt idx="392">
                        <c:v>1510</c:v>
                      </c:pt>
                      <c:pt idx="393">
                        <c:v>1515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264-4DA7-A5E6-9256AAE1C46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HISTORICAL!$F$1</c15:sqref>
                        </c15:formulaRef>
                      </c:ext>
                    </c:extLst>
                    <c:strCache>
                      <c:ptCount val="1"/>
                      <c:pt idx="0">
                        <c:v>FOB (VND) in K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HISTORICAL!$A$2:$A$200</c15:sqref>
                        </c15:formulaRef>
                      </c:ext>
                    </c:extLst>
                    <c:numCache>
                      <c:formatCode>m/d/yyyy</c:formatCode>
                      <c:ptCount val="199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HISTORICAL!$F$2:$F$395</c15:sqref>
                        </c15:formulaRef>
                      </c:ext>
                    </c:extLst>
                    <c:numCache>
                      <c:formatCode>#,##0</c:formatCode>
                      <c:ptCount val="394"/>
                      <c:pt idx="0">
                        <c:v>81447.047999999995</c:v>
                      </c:pt>
                      <c:pt idx="1">
                        <c:v>92207.808000000005</c:v>
                      </c:pt>
                      <c:pt idx="2">
                        <c:v>93666.402000000002</c:v>
                      </c:pt>
                      <c:pt idx="3">
                        <c:v>94641.497000000003</c:v>
                      </c:pt>
                      <c:pt idx="4">
                        <c:v>91744.7</c:v>
                      </c:pt>
                      <c:pt idx="5">
                        <c:v>93918.498999999996</c:v>
                      </c:pt>
                      <c:pt idx="6">
                        <c:v>97307.433999999994</c:v>
                      </c:pt>
                      <c:pt idx="7">
                        <c:v>93174.18</c:v>
                      </c:pt>
                      <c:pt idx="8">
                        <c:v>98436.9</c:v>
                      </c:pt>
                      <c:pt idx="9">
                        <c:v>102464.674</c:v>
                      </c:pt>
                      <c:pt idx="10">
                        <c:v>100213.08</c:v>
                      </c:pt>
                      <c:pt idx="11">
                        <c:v>104070.27800000001</c:v>
                      </c:pt>
                      <c:pt idx="12">
                        <c:v>103565.539</c:v>
                      </c:pt>
                      <c:pt idx="13">
                        <c:v>102308.83199999999</c:v>
                      </c:pt>
                      <c:pt idx="14">
                        <c:v>104925.247</c:v>
                      </c:pt>
                      <c:pt idx="15">
                        <c:v>111285.57</c:v>
                      </c:pt>
                      <c:pt idx="16">
                        <c:v>104693.155</c:v>
                      </c:pt>
                      <c:pt idx="17">
                        <c:v>102681.13</c:v>
                      </c:pt>
                      <c:pt idx="18">
                        <c:v>101638.63</c:v>
                      </c:pt>
                      <c:pt idx="19">
                        <c:v>96217.875</c:v>
                      </c:pt>
                      <c:pt idx="20">
                        <c:v>93276.25</c:v>
                      </c:pt>
                      <c:pt idx="21">
                        <c:v>97274.57</c:v>
                      </c:pt>
                      <c:pt idx="22">
                        <c:v>96941.65</c:v>
                      </c:pt>
                      <c:pt idx="23">
                        <c:v>100267.77</c:v>
                      </c:pt>
                      <c:pt idx="24">
                        <c:v>97199.76</c:v>
                      </c:pt>
                      <c:pt idx="25">
                        <c:v>95958.554999999993</c:v>
                      </c:pt>
                      <c:pt idx="26">
                        <c:v>98786.558000000005</c:v>
                      </c:pt>
                      <c:pt idx="27">
                        <c:v>95055.428</c:v>
                      </c:pt>
                      <c:pt idx="28">
                        <c:v>89988.08</c:v>
                      </c:pt>
                      <c:pt idx="29">
                        <c:v>92769.06</c:v>
                      </c:pt>
                      <c:pt idx="30">
                        <c:v>97540.296000000002</c:v>
                      </c:pt>
                      <c:pt idx="31">
                        <c:v>101580.595</c:v>
                      </c:pt>
                      <c:pt idx="32">
                        <c:v>98291.07</c:v>
                      </c:pt>
                      <c:pt idx="33">
                        <c:v>103555.71</c:v>
                      </c:pt>
                      <c:pt idx="34">
                        <c:v>98887.97</c:v>
                      </c:pt>
                      <c:pt idx="35">
                        <c:v>97977.600000000006</c:v>
                      </c:pt>
                      <c:pt idx="36">
                        <c:v>101178.55</c:v>
                      </c:pt>
                      <c:pt idx="37">
                        <c:v>100400.55</c:v>
                      </c:pt>
                      <c:pt idx="38">
                        <c:v>108367.2</c:v>
                      </c:pt>
                      <c:pt idx="39">
                        <c:v>107852.302</c:v>
                      </c:pt>
                      <c:pt idx="40">
                        <c:v>106572.49</c:v>
                      </c:pt>
                      <c:pt idx="41">
                        <c:v>105129.84</c:v>
                      </c:pt>
                      <c:pt idx="42">
                        <c:v>105416.655</c:v>
                      </c:pt>
                      <c:pt idx="43">
                        <c:v>102575.87</c:v>
                      </c:pt>
                      <c:pt idx="44">
                        <c:v>98227.044999999998</c:v>
                      </c:pt>
                      <c:pt idx="45">
                        <c:v>109592.1</c:v>
                      </c:pt>
                      <c:pt idx="46">
                        <c:v>113578.08</c:v>
                      </c:pt>
                      <c:pt idx="47">
                        <c:v>119702.508</c:v>
                      </c:pt>
                      <c:pt idx="48">
                        <c:v>126055.84600000001</c:v>
                      </c:pt>
                      <c:pt idx="49">
                        <c:v>118390.55</c:v>
                      </c:pt>
                      <c:pt idx="50">
                        <c:v>123013.8</c:v>
                      </c:pt>
                      <c:pt idx="51">
                        <c:v>126075.16499999999</c:v>
                      </c:pt>
                      <c:pt idx="52">
                        <c:v>122903.352</c:v>
                      </c:pt>
                      <c:pt idx="53">
                        <c:v>122972.94</c:v>
                      </c:pt>
                      <c:pt idx="54">
                        <c:v>122298.132</c:v>
                      </c:pt>
                      <c:pt idx="55">
                        <c:v>119956.185</c:v>
                      </c:pt>
                      <c:pt idx="56">
                        <c:v>112959.16</c:v>
                      </c:pt>
                      <c:pt idx="57">
                        <c:v>125634.285</c:v>
                      </c:pt>
                      <c:pt idx="58">
                        <c:v>131110.125</c:v>
                      </c:pt>
                      <c:pt idx="59">
                        <c:v>129533.04</c:v>
                      </c:pt>
                      <c:pt idx="60">
                        <c:v>142554.88</c:v>
                      </c:pt>
                      <c:pt idx="61">
                        <c:v>133873.35</c:v>
                      </c:pt>
                      <c:pt idx="62">
                        <c:v>118087.46</c:v>
                      </c:pt>
                      <c:pt idx="63">
                        <c:v>102848.13</c:v>
                      </c:pt>
                      <c:pt idx="64">
                        <c:v>96955.096999999994</c:v>
                      </c:pt>
                      <c:pt idx="65">
                        <c:v>96580.89</c:v>
                      </c:pt>
                      <c:pt idx="66">
                        <c:v>94399.62</c:v>
                      </c:pt>
                      <c:pt idx="67">
                        <c:v>93223.41</c:v>
                      </c:pt>
                      <c:pt idx="68">
                        <c:v>100171.72500000001</c:v>
                      </c:pt>
                      <c:pt idx="69">
                        <c:v>100876.5</c:v>
                      </c:pt>
                      <c:pt idx="70">
                        <c:v>104936.091</c:v>
                      </c:pt>
                      <c:pt idx="71">
                        <c:v>115632.88</c:v>
                      </c:pt>
                      <c:pt idx="72">
                        <c:v>119206.2</c:v>
                      </c:pt>
                      <c:pt idx="73">
                        <c:v>121082.7</c:v>
                      </c:pt>
                      <c:pt idx="74">
                        <c:v>128629.41</c:v>
                      </c:pt>
                      <c:pt idx="75">
                        <c:v>131699.51999999999</c:v>
                      </c:pt>
                      <c:pt idx="76">
                        <c:v>139755.92800000001</c:v>
                      </c:pt>
                      <c:pt idx="77">
                        <c:v>144163.01999999999</c:v>
                      </c:pt>
                      <c:pt idx="78">
                        <c:v>146448.302</c:v>
                      </c:pt>
                      <c:pt idx="79">
                        <c:v>140475.769</c:v>
                      </c:pt>
                      <c:pt idx="80">
                        <c:v>129626.64</c:v>
                      </c:pt>
                      <c:pt idx="81">
                        <c:v>142051.32</c:v>
                      </c:pt>
                      <c:pt idx="82">
                        <c:v>140094.35999999999</c:v>
                      </c:pt>
                      <c:pt idx="83">
                        <c:v>141698.11499999999</c:v>
                      </c:pt>
                      <c:pt idx="84">
                        <c:v>140653.82</c:v>
                      </c:pt>
                      <c:pt idx="85">
                        <c:v>137797.39499999999</c:v>
                      </c:pt>
                      <c:pt idx="86">
                        <c:v>136685.12</c:v>
                      </c:pt>
                      <c:pt idx="87">
                        <c:v>142162.5</c:v>
                      </c:pt>
                      <c:pt idx="88">
                        <c:v>148264.32000000001</c:v>
                      </c:pt>
                      <c:pt idx="89">
                        <c:v>143628.35999999999</c:v>
                      </c:pt>
                      <c:pt idx="90">
                        <c:v>144069.94</c:v>
                      </c:pt>
                      <c:pt idx="91">
                        <c:v>138491.76</c:v>
                      </c:pt>
                      <c:pt idx="92">
                        <c:v>125048.73</c:v>
                      </c:pt>
                      <c:pt idx="93">
                        <c:v>127610.875</c:v>
                      </c:pt>
                      <c:pt idx="94">
                        <c:v>130711.2</c:v>
                      </c:pt>
                      <c:pt idx="95">
                        <c:v>130837.05</c:v>
                      </c:pt>
                      <c:pt idx="96">
                        <c:v>130965.7</c:v>
                      </c:pt>
                      <c:pt idx="97">
                        <c:v>133369.288</c:v>
                      </c:pt>
                      <c:pt idx="98">
                        <c:v>125707.14</c:v>
                      </c:pt>
                      <c:pt idx="99">
                        <c:v>142714.82399999999</c:v>
                      </c:pt>
                      <c:pt idx="100">
                        <c:v>127252.905</c:v>
                      </c:pt>
                      <c:pt idx="101">
                        <c:v>126873.83</c:v>
                      </c:pt>
                      <c:pt idx="102">
                        <c:v>120057.60000000001</c:v>
                      </c:pt>
                      <c:pt idx="103">
                        <c:v>120512.63</c:v>
                      </c:pt>
                      <c:pt idx="104">
                        <c:v>118979.495</c:v>
                      </c:pt>
                      <c:pt idx="105">
                        <c:v>122324.44</c:v>
                      </c:pt>
                      <c:pt idx="106">
                        <c:v>124199.66</c:v>
                      </c:pt>
                      <c:pt idx="107">
                        <c:v>122982.65</c:v>
                      </c:pt>
                      <c:pt idx="108">
                        <c:v>135185.57999999999</c:v>
                      </c:pt>
                      <c:pt idx="109">
                        <c:v>136286.62</c:v>
                      </c:pt>
                      <c:pt idx="110">
                        <c:v>138283.52499999999</c:v>
                      </c:pt>
                      <c:pt idx="111">
                        <c:v>136287.03</c:v>
                      </c:pt>
                      <c:pt idx="112">
                        <c:v>140540.37</c:v>
                      </c:pt>
                      <c:pt idx="113">
                        <c:v>134634.23999999999</c:v>
                      </c:pt>
                      <c:pt idx="114">
                        <c:v>132815.1</c:v>
                      </c:pt>
                      <c:pt idx="115">
                        <c:v>128263.905</c:v>
                      </c:pt>
                      <c:pt idx="116">
                        <c:v>124385.595</c:v>
                      </c:pt>
                      <c:pt idx="117">
                        <c:v>132619.82500000001</c:v>
                      </c:pt>
                      <c:pt idx="118">
                        <c:v>136142.49</c:v>
                      </c:pt>
                      <c:pt idx="119">
                        <c:v>136656.45499999999</c:v>
                      </c:pt>
                      <c:pt idx="120">
                        <c:v>125672.1</c:v>
                      </c:pt>
                      <c:pt idx="121">
                        <c:v>124653.13499999999</c:v>
                      </c:pt>
                      <c:pt idx="122">
                        <c:v>129184.2</c:v>
                      </c:pt>
                      <c:pt idx="123">
                        <c:v>128268.705</c:v>
                      </c:pt>
                      <c:pt idx="124">
                        <c:v>133302.48000000001</c:v>
                      </c:pt>
                      <c:pt idx="125">
                        <c:v>129311.45</c:v>
                      </c:pt>
                      <c:pt idx="126">
                        <c:v>122735.111</c:v>
                      </c:pt>
                      <c:pt idx="127">
                        <c:v>112405.02</c:v>
                      </c:pt>
                      <c:pt idx="128">
                        <c:v>111725.5</c:v>
                      </c:pt>
                      <c:pt idx="129">
                        <c:v>115778.4</c:v>
                      </c:pt>
                      <c:pt idx="130">
                        <c:v>130146.9</c:v>
                      </c:pt>
                      <c:pt idx="131">
                        <c:v>124256.8</c:v>
                      </c:pt>
                      <c:pt idx="132">
                        <c:v>114658.2</c:v>
                      </c:pt>
                      <c:pt idx="133">
                        <c:v>112157.63</c:v>
                      </c:pt>
                      <c:pt idx="134">
                        <c:v>103523.04</c:v>
                      </c:pt>
                      <c:pt idx="135">
                        <c:v>102485.97500000001</c:v>
                      </c:pt>
                      <c:pt idx="136">
                        <c:v>97698.33</c:v>
                      </c:pt>
                      <c:pt idx="137">
                        <c:v>99485.08</c:v>
                      </c:pt>
                      <c:pt idx="138">
                        <c:v>91044.800000000003</c:v>
                      </c:pt>
                      <c:pt idx="139">
                        <c:v>86876.47</c:v>
                      </c:pt>
                      <c:pt idx="140">
                        <c:v>85770.6</c:v>
                      </c:pt>
                      <c:pt idx="141">
                        <c:v>83667.600000000006</c:v>
                      </c:pt>
                      <c:pt idx="142">
                        <c:v>83716.399999999994</c:v>
                      </c:pt>
                      <c:pt idx="143">
                        <c:v>86142.104999999996</c:v>
                      </c:pt>
                      <c:pt idx="144">
                        <c:v>81317.585000000006</c:v>
                      </c:pt>
                      <c:pt idx="145">
                        <c:v>78760.55</c:v>
                      </c:pt>
                      <c:pt idx="146">
                        <c:v>73469.759999999995</c:v>
                      </c:pt>
                      <c:pt idx="147">
                        <c:v>77455.06</c:v>
                      </c:pt>
                      <c:pt idx="148">
                        <c:v>78407.679999999993</c:v>
                      </c:pt>
                      <c:pt idx="149">
                        <c:v>73389.615000000005</c:v>
                      </c:pt>
                      <c:pt idx="150">
                        <c:v>66537.774999999994</c:v>
                      </c:pt>
                      <c:pt idx="151">
                        <c:v>66590.5</c:v>
                      </c:pt>
                      <c:pt idx="152">
                        <c:v>65957.039999999994</c:v>
                      </c:pt>
                      <c:pt idx="153">
                        <c:v>68395.008000000002</c:v>
                      </c:pt>
                      <c:pt idx="154">
                        <c:v>66448.2</c:v>
                      </c:pt>
                      <c:pt idx="155">
                        <c:v>64569.96</c:v>
                      </c:pt>
                      <c:pt idx="156">
                        <c:v>68360.2</c:v>
                      </c:pt>
                      <c:pt idx="157">
                        <c:v>67807.100000000006</c:v>
                      </c:pt>
                      <c:pt idx="158">
                        <c:v>64386.224999999999</c:v>
                      </c:pt>
                      <c:pt idx="159">
                        <c:v>65387.16</c:v>
                      </c:pt>
                      <c:pt idx="160">
                        <c:v>67595.22</c:v>
                      </c:pt>
                      <c:pt idx="161">
                        <c:v>68408.34</c:v>
                      </c:pt>
                      <c:pt idx="162">
                        <c:v>68905.899999999994</c:v>
                      </c:pt>
                      <c:pt idx="163">
                        <c:v>66333.42</c:v>
                      </c:pt>
                      <c:pt idx="164">
                        <c:v>68306.34</c:v>
                      </c:pt>
                      <c:pt idx="165">
                        <c:v>66130.22</c:v>
                      </c:pt>
                      <c:pt idx="166">
                        <c:v>65849.850000000006</c:v>
                      </c:pt>
                      <c:pt idx="167">
                        <c:v>68940.960000000006</c:v>
                      </c:pt>
                      <c:pt idx="168">
                        <c:v>68542.5</c:v>
                      </c:pt>
                      <c:pt idx="169">
                        <c:v>67883.409</c:v>
                      </c:pt>
                      <c:pt idx="170">
                        <c:v>68245.241999999998</c:v>
                      </c:pt>
                      <c:pt idx="171">
                        <c:v>68036.875</c:v>
                      </c:pt>
                      <c:pt idx="172">
                        <c:v>67099.3</c:v>
                      </c:pt>
                      <c:pt idx="173">
                        <c:v>67643.03</c:v>
                      </c:pt>
                      <c:pt idx="174">
                        <c:v>71697.235000000001</c:v>
                      </c:pt>
                      <c:pt idx="175">
                        <c:v>71445.425000000003</c:v>
                      </c:pt>
                      <c:pt idx="176">
                        <c:v>70610.94</c:v>
                      </c:pt>
                      <c:pt idx="177">
                        <c:v>64982.995000000003</c:v>
                      </c:pt>
                      <c:pt idx="178">
                        <c:v>61209.760000000002</c:v>
                      </c:pt>
                      <c:pt idx="179">
                        <c:v>62189.4</c:v>
                      </c:pt>
                      <c:pt idx="180">
                        <c:v>60093.864999999998</c:v>
                      </c:pt>
                      <c:pt idx="181">
                        <c:v>57956.04</c:v>
                      </c:pt>
                      <c:pt idx="182">
                        <c:v>57791.925000000003</c:v>
                      </c:pt>
                      <c:pt idx="183">
                        <c:v>57169.792000000001</c:v>
                      </c:pt>
                      <c:pt idx="184">
                        <c:v>57240.480000000003</c:v>
                      </c:pt>
                      <c:pt idx="185">
                        <c:v>54312.516000000003</c:v>
                      </c:pt>
                      <c:pt idx="186">
                        <c:v>52361.57</c:v>
                      </c:pt>
                      <c:pt idx="187">
                        <c:v>51302.16</c:v>
                      </c:pt>
                      <c:pt idx="188">
                        <c:v>50277.04</c:v>
                      </c:pt>
                      <c:pt idx="189">
                        <c:v>52048.639999999999</c:v>
                      </c:pt>
                      <c:pt idx="190">
                        <c:v>52140</c:v>
                      </c:pt>
                      <c:pt idx="191">
                        <c:v>51226.065000000002</c:v>
                      </c:pt>
                      <c:pt idx="192">
                        <c:v>48828.160000000003</c:v>
                      </c:pt>
                      <c:pt idx="193">
                        <c:v>47638.32</c:v>
                      </c:pt>
                      <c:pt idx="194">
                        <c:v>48398.735999999997</c:v>
                      </c:pt>
                      <c:pt idx="195">
                        <c:v>46458.080000000002</c:v>
                      </c:pt>
                      <c:pt idx="196">
                        <c:v>45661.120000000003</c:v>
                      </c:pt>
                      <c:pt idx="197">
                        <c:v>44790.017999999996</c:v>
                      </c:pt>
                      <c:pt idx="198">
                        <c:v>43710.45</c:v>
                      </c:pt>
                      <c:pt idx="199">
                        <c:v>43990.400000000001</c:v>
                      </c:pt>
                      <c:pt idx="200">
                        <c:v>45322.34</c:v>
                      </c:pt>
                      <c:pt idx="201">
                        <c:v>45073</c:v>
                      </c:pt>
                      <c:pt idx="202">
                        <c:v>44611.28</c:v>
                      </c:pt>
                      <c:pt idx="203">
                        <c:v>44712.5</c:v>
                      </c:pt>
                      <c:pt idx="204">
                        <c:v>44997.396000000001</c:v>
                      </c:pt>
                      <c:pt idx="205">
                        <c:v>44351.34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#N/A</c:v>
                      </c:pt>
                      <c:pt idx="294">
                        <c:v>#N/A</c:v>
                      </c:pt>
                      <c:pt idx="295">
                        <c:v>#N/A</c:v>
                      </c:pt>
                      <c:pt idx="296">
                        <c:v>#N/A</c:v>
                      </c:pt>
                      <c:pt idx="297">
                        <c:v>#N/A</c:v>
                      </c:pt>
                      <c:pt idx="298">
                        <c:v>#N/A</c:v>
                      </c:pt>
                      <c:pt idx="299">
                        <c:v>#N/A</c:v>
                      </c:pt>
                      <c:pt idx="300">
                        <c:v>#N/A</c:v>
                      </c:pt>
                      <c:pt idx="301">
                        <c:v>#N/A</c:v>
                      </c:pt>
                      <c:pt idx="302">
                        <c:v>#N/A</c:v>
                      </c:pt>
                      <c:pt idx="303">
                        <c:v>#N/A</c:v>
                      </c:pt>
                      <c:pt idx="304">
                        <c:v>#N/A</c:v>
                      </c:pt>
                      <c:pt idx="305">
                        <c:v>#N/A</c:v>
                      </c:pt>
                      <c:pt idx="306">
                        <c:v>35755.887999999999</c:v>
                      </c:pt>
                      <c:pt idx="307">
                        <c:v>35635.625</c:v>
                      </c:pt>
                      <c:pt idx="308">
                        <c:v>37317.203999999998</c:v>
                      </c:pt>
                      <c:pt idx="309">
                        <c:v>36409.495999999999</c:v>
                      </c:pt>
                      <c:pt idx="310">
                        <c:v>37613.025000000001</c:v>
                      </c:pt>
                      <c:pt idx="311">
                        <c:v>35898.074999999997</c:v>
                      </c:pt>
                      <c:pt idx="312">
                        <c:v>36307.39</c:v>
                      </c:pt>
                      <c:pt idx="313">
                        <c:v>35621.512000000002</c:v>
                      </c:pt>
                      <c:pt idx="314">
                        <c:v>35125.72</c:v>
                      </c:pt>
                      <c:pt idx="315">
                        <c:v>34577.781000000003</c:v>
                      </c:pt>
                      <c:pt idx="316">
                        <c:v>35129.82</c:v>
                      </c:pt>
                      <c:pt idx="317">
                        <c:v>35749.728000000003</c:v>
                      </c:pt>
                      <c:pt idx="318">
                        <c:v>36307.39</c:v>
                      </c:pt>
                      <c:pt idx="319">
                        <c:v>36682.067499999997</c:v>
                      </c:pt>
                      <c:pt idx="320">
                        <c:v>37217.444000000003</c:v>
                      </c:pt>
                      <c:pt idx="321">
                        <c:v>37194.269999999997</c:v>
                      </c:pt>
                      <c:pt idx="322">
                        <c:v>37426.01</c:v>
                      </c:pt>
                      <c:pt idx="323">
                        <c:v>38283.447999999997</c:v>
                      </c:pt>
                      <c:pt idx="324">
                        <c:v>38073.239000000001</c:v>
                      </c:pt>
                      <c:pt idx="325">
                        <c:v>38146.050000000003</c:v>
                      </c:pt>
                      <c:pt idx="326">
                        <c:v>38647.728000000003</c:v>
                      </c:pt>
                      <c:pt idx="327">
                        <c:v>35609.088000000003</c:v>
                      </c:pt>
                      <c:pt idx="328">
                        <c:v>35170.127999999997</c:v>
                      </c:pt>
                      <c:pt idx="329">
                        <c:v>35081.423999999999</c:v>
                      </c:pt>
                      <c:pt idx="330">
                        <c:v>33744.432000000001</c:v>
                      </c:pt>
                      <c:pt idx="331">
                        <c:v>33979.440000000002</c:v>
                      </c:pt>
                      <c:pt idx="332">
                        <c:v>34985.004999999997</c:v>
                      </c:pt>
                      <c:pt idx="333">
                        <c:v>34661.870000000003</c:v>
                      </c:pt>
                      <c:pt idx="334">
                        <c:v>34460.699999999997</c:v>
                      </c:pt>
                      <c:pt idx="335">
                        <c:v>34113.82</c:v>
                      </c:pt>
                      <c:pt idx="336">
                        <c:v>33577.300000000003</c:v>
                      </c:pt>
                      <c:pt idx="337">
                        <c:v>34106.800000000003</c:v>
                      </c:pt>
                      <c:pt idx="338">
                        <c:v>34298.591999999997</c:v>
                      </c:pt>
                      <c:pt idx="339">
                        <c:v>33348.699999999997</c:v>
                      </c:pt>
                      <c:pt idx="340">
                        <c:v>33870.800000000003</c:v>
                      </c:pt>
                      <c:pt idx="341">
                        <c:v>33799.232000000004</c:v>
                      </c:pt>
                      <c:pt idx="342">
                        <c:v>34063.96</c:v>
                      </c:pt>
                      <c:pt idx="343">
                        <c:v>34674.160000000003</c:v>
                      </c:pt>
                      <c:pt idx="344">
                        <c:v>34003.423999999999</c:v>
                      </c:pt>
                      <c:pt idx="345">
                        <c:v>33609.555</c:v>
                      </c:pt>
                      <c:pt idx="346">
                        <c:v>33979.440000000002</c:v>
                      </c:pt>
                      <c:pt idx="347">
                        <c:v>34371.96</c:v>
                      </c:pt>
                      <c:pt idx="348">
                        <c:v>34598.404000000002</c:v>
                      </c:pt>
                      <c:pt idx="349">
                        <c:v>34881.739000000001</c:v>
                      </c:pt>
                      <c:pt idx="350">
                        <c:v>34065.207000000002</c:v>
                      </c:pt>
                      <c:pt idx="351">
                        <c:v>34647.224000000002</c:v>
                      </c:pt>
                      <c:pt idx="352">
                        <c:v>35379.063000000002</c:v>
                      </c:pt>
                      <c:pt idx="353">
                        <c:v>33458.923999999999</c:v>
                      </c:pt>
                      <c:pt idx="354">
                        <c:v>34017.964</c:v>
                      </c:pt>
                      <c:pt idx="355">
                        <c:v>35215.360000000001</c:v>
                      </c:pt>
                      <c:pt idx="356">
                        <c:v>35154.957999999999</c:v>
                      </c:pt>
                      <c:pt idx="357">
                        <c:v>35147.373</c:v>
                      </c:pt>
                      <c:pt idx="358">
                        <c:v>37232.582999999999</c:v>
                      </c:pt>
                      <c:pt idx="359">
                        <c:v>36163.686999999998</c:v>
                      </c:pt>
                      <c:pt idx="360">
                        <c:v>36609.599999999999</c:v>
                      </c:pt>
                      <c:pt idx="361">
                        <c:v>37155.186000000002</c:v>
                      </c:pt>
                      <c:pt idx="362">
                        <c:v>37607.199999999997</c:v>
                      </c:pt>
                      <c:pt idx="363">
                        <c:v>36608.021999999997</c:v>
                      </c:pt>
                      <c:pt idx="364">
                        <c:v>35313.444000000003</c:v>
                      </c:pt>
                      <c:pt idx="365">
                        <c:v>34038.800999999999</c:v>
                      </c:pt>
                      <c:pt idx="366">
                        <c:v>34034.400000000001</c:v>
                      </c:pt>
                      <c:pt idx="367">
                        <c:v>35055.199999999997</c:v>
                      </c:pt>
                      <c:pt idx="368">
                        <c:v>36238.400000000001</c:v>
                      </c:pt>
                      <c:pt idx="369">
                        <c:v>35977.050000000003</c:v>
                      </c:pt>
                      <c:pt idx="370">
                        <c:v>36223.004999999997</c:v>
                      </c:pt>
                      <c:pt idx="371">
                        <c:v>34843.396000000001</c:v>
                      </c:pt>
                      <c:pt idx="372">
                        <c:v>36688.686000000002</c:v>
                      </c:pt>
                      <c:pt idx="373">
                        <c:v>36609.599999999999</c:v>
                      </c:pt>
                      <c:pt idx="374">
                        <c:v>36408.959999999999</c:v>
                      </c:pt>
                      <c:pt idx="375">
                        <c:v>35380</c:v>
                      </c:pt>
                      <c:pt idx="376">
                        <c:v>35463.351999999999</c:v>
                      </c:pt>
                      <c:pt idx="377">
                        <c:v>37072.758000000002</c:v>
                      </c:pt>
                      <c:pt idx="378">
                        <c:v>37050.400000000001</c:v>
                      </c:pt>
                      <c:pt idx="379">
                        <c:v>38206.559999999998</c:v>
                      </c:pt>
                      <c:pt idx="380">
                        <c:v>37296</c:v>
                      </c:pt>
                      <c:pt idx="381">
                        <c:v>36549.855000000003</c:v>
                      </c:pt>
                      <c:pt idx="382">
                        <c:v>35922.07</c:v>
                      </c:pt>
                      <c:pt idx="383">
                        <c:v>35343.06</c:v>
                      </c:pt>
                      <c:pt idx="384">
                        <c:v>33889.212</c:v>
                      </c:pt>
                      <c:pt idx="385">
                        <c:v>32889.64</c:v>
                      </c:pt>
                      <c:pt idx="386">
                        <c:v>33429.599999999999</c:v>
                      </c:pt>
                      <c:pt idx="387">
                        <c:v>34015.597999999998</c:v>
                      </c:pt>
                      <c:pt idx="388">
                        <c:v>34121.315999999999</c:v>
                      </c:pt>
                      <c:pt idx="389">
                        <c:v>34681.01</c:v>
                      </c:pt>
                      <c:pt idx="390">
                        <c:v>35310.400000000001</c:v>
                      </c:pt>
                      <c:pt idx="391">
                        <c:v>35565.599999999999</c:v>
                      </c:pt>
                      <c:pt idx="392">
                        <c:v>35028.980000000003</c:v>
                      </c:pt>
                      <c:pt idx="393">
                        <c:v>35143.455000000002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264-4DA7-A5E6-9256AAE1C46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HISTORICAL!$G$1</c15:sqref>
                        </c15:formulaRef>
                      </c:ext>
                    </c:extLst>
                    <c:strCache>
                      <c:ptCount val="1"/>
                      <c:pt idx="0">
                        <c:v>Farmer's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393"/>
                    <c:layout>
                      <c:manualLayout>
                        <c:x val="-5.4934201514799795E-2"/>
                        <c:y val="-7.273877292852627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320-4A43-A342-D4834AE4BA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HISTORICAL!$A$2:$A$200</c15:sqref>
                        </c15:formulaRef>
                      </c:ext>
                    </c:extLst>
                    <c:numCache>
                      <c:formatCode>m/d/yyyy</c:formatCode>
                      <c:ptCount val="199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HISTORICAL!$G$2:$G$395</c15:sqref>
                        </c15:formulaRef>
                      </c:ext>
                    </c:extLst>
                    <c:numCache>
                      <c:formatCode>#,##0</c:formatCode>
                      <c:ptCount val="394"/>
                      <c:pt idx="0">
                        <c:v>80671.607999999993</c:v>
                      </c:pt>
                      <c:pt idx="1">
                        <c:v>91431.648000000001</c:v>
                      </c:pt>
                      <c:pt idx="2">
                        <c:v>92889.732000000004</c:v>
                      </c:pt>
                      <c:pt idx="3">
                        <c:v>93862.126999999993</c:v>
                      </c:pt>
                      <c:pt idx="4">
                        <c:v>90965</c:v>
                      </c:pt>
                      <c:pt idx="5">
                        <c:v>93138.229000000007</c:v>
                      </c:pt>
                      <c:pt idx="6">
                        <c:v>96529.804000000004</c:v>
                      </c:pt>
                      <c:pt idx="7">
                        <c:v>92392.08</c:v>
                      </c:pt>
                      <c:pt idx="8">
                        <c:v>97654.62</c:v>
                      </c:pt>
                      <c:pt idx="9">
                        <c:v>101681.704</c:v>
                      </c:pt>
                      <c:pt idx="10">
                        <c:v>99430.98</c:v>
                      </c:pt>
                      <c:pt idx="11">
                        <c:v>103283.258</c:v>
                      </c:pt>
                      <c:pt idx="12">
                        <c:v>102777.16899999999</c:v>
                      </c:pt>
                      <c:pt idx="13">
                        <c:v>101519.412</c:v>
                      </c:pt>
                      <c:pt idx="14">
                        <c:v>104137.717</c:v>
                      </c:pt>
                      <c:pt idx="15">
                        <c:v>110496.87</c:v>
                      </c:pt>
                      <c:pt idx="16">
                        <c:v>103904.605</c:v>
                      </c:pt>
                      <c:pt idx="17">
                        <c:v>101891.68</c:v>
                      </c:pt>
                      <c:pt idx="18">
                        <c:v>100850.53</c:v>
                      </c:pt>
                      <c:pt idx="19">
                        <c:v>95428.125</c:v>
                      </c:pt>
                      <c:pt idx="20">
                        <c:v>92488</c:v>
                      </c:pt>
                      <c:pt idx="21">
                        <c:v>96484.79</c:v>
                      </c:pt>
                      <c:pt idx="22">
                        <c:v>96151.15</c:v>
                      </c:pt>
                      <c:pt idx="23">
                        <c:v>99478.26</c:v>
                      </c:pt>
                      <c:pt idx="24">
                        <c:v>96410.16</c:v>
                      </c:pt>
                      <c:pt idx="25">
                        <c:v>95167.904999999999</c:v>
                      </c:pt>
                      <c:pt idx="26">
                        <c:v>97997.737999999998</c:v>
                      </c:pt>
                      <c:pt idx="27">
                        <c:v>94266.368000000002</c:v>
                      </c:pt>
                      <c:pt idx="28">
                        <c:v>89198.48</c:v>
                      </c:pt>
                      <c:pt idx="29">
                        <c:v>91979.76</c:v>
                      </c:pt>
                      <c:pt idx="30">
                        <c:v>96749.856</c:v>
                      </c:pt>
                      <c:pt idx="31">
                        <c:v>100792.94500000001</c:v>
                      </c:pt>
                      <c:pt idx="32">
                        <c:v>97505.37</c:v>
                      </c:pt>
                      <c:pt idx="33">
                        <c:v>102769.41</c:v>
                      </c:pt>
                      <c:pt idx="34">
                        <c:v>98107.07</c:v>
                      </c:pt>
                      <c:pt idx="35">
                        <c:v>97200</c:v>
                      </c:pt>
                      <c:pt idx="36">
                        <c:v>100401.25</c:v>
                      </c:pt>
                      <c:pt idx="37">
                        <c:v>99622.05</c:v>
                      </c:pt>
                      <c:pt idx="38">
                        <c:v>107588.7</c:v>
                      </c:pt>
                      <c:pt idx="39">
                        <c:v>107064.292</c:v>
                      </c:pt>
                      <c:pt idx="40">
                        <c:v>105785.59</c:v>
                      </c:pt>
                      <c:pt idx="41">
                        <c:v>104342.94</c:v>
                      </c:pt>
                      <c:pt idx="42">
                        <c:v>104627.80499999999</c:v>
                      </c:pt>
                      <c:pt idx="43">
                        <c:v>101786.42</c:v>
                      </c:pt>
                      <c:pt idx="44">
                        <c:v>97438.494999999995</c:v>
                      </c:pt>
                      <c:pt idx="45">
                        <c:v>108803.1</c:v>
                      </c:pt>
                      <c:pt idx="46">
                        <c:v>112787.88</c:v>
                      </c:pt>
                      <c:pt idx="47">
                        <c:v>118911.348</c:v>
                      </c:pt>
                      <c:pt idx="48">
                        <c:v>125264.86599999999</c:v>
                      </c:pt>
                      <c:pt idx="49">
                        <c:v>117600.05</c:v>
                      </c:pt>
                      <c:pt idx="50">
                        <c:v>122225.25</c:v>
                      </c:pt>
                      <c:pt idx="51">
                        <c:v>125285.715</c:v>
                      </c:pt>
                      <c:pt idx="52">
                        <c:v>122113.992</c:v>
                      </c:pt>
                      <c:pt idx="53">
                        <c:v>122183.64</c:v>
                      </c:pt>
                      <c:pt idx="54">
                        <c:v>121507.75199999999</c:v>
                      </c:pt>
                      <c:pt idx="55">
                        <c:v>119164.395</c:v>
                      </c:pt>
                      <c:pt idx="56">
                        <c:v>112167.76</c:v>
                      </c:pt>
                      <c:pt idx="57">
                        <c:v>124843.63499999999</c:v>
                      </c:pt>
                      <c:pt idx="58">
                        <c:v>130318.875</c:v>
                      </c:pt>
                      <c:pt idx="59">
                        <c:v>128742.24</c:v>
                      </c:pt>
                      <c:pt idx="60">
                        <c:v>141764.07999999999</c:v>
                      </c:pt>
                      <c:pt idx="61">
                        <c:v>133081.20000000001</c:v>
                      </c:pt>
                      <c:pt idx="62">
                        <c:v>117300.56</c:v>
                      </c:pt>
                      <c:pt idx="63">
                        <c:v>102062.43</c:v>
                      </c:pt>
                      <c:pt idx="64">
                        <c:v>96169.187000000005</c:v>
                      </c:pt>
                      <c:pt idx="65">
                        <c:v>95797.59</c:v>
                      </c:pt>
                      <c:pt idx="66">
                        <c:v>93615.57</c:v>
                      </c:pt>
                      <c:pt idx="67">
                        <c:v>92440.02</c:v>
                      </c:pt>
                      <c:pt idx="68">
                        <c:v>99386.475000000006</c:v>
                      </c:pt>
                      <c:pt idx="69">
                        <c:v>100093.5</c:v>
                      </c:pt>
                      <c:pt idx="70">
                        <c:v>104152.401</c:v>
                      </c:pt>
                      <c:pt idx="71">
                        <c:v>114852.28</c:v>
                      </c:pt>
                      <c:pt idx="72">
                        <c:v>118424.52</c:v>
                      </c:pt>
                      <c:pt idx="73">
                        <c:v>120304.2</c:v>
                      </c:pt>
                      <c:pt idx="74">
                        <c:v>127850.31</c:v>
                      </c:pt>
                      <c:pt idx="75">
                        <c:v>130921.92</c:v>
                      </c:pt>
                      <c:pt idx="76">
                        <c:v>138977.48800000001</c:v>
                      </c:pt>
                      <c:pt idx="77">
                        <c:v>143383.62</c:v>
                      </c:pt>
                      <c:pt idx="78">
                        <c:v>145667.522</c:v>
                      </c:pt>
                      <c:pt idx="79">
                        <c:v>139700.65900000001</c:v>
                      </c:pt>
                      <c:pt idx="80">
                        <c:v>128854.44</c:v>
                      </c:pt>
                      <c:pt idx="81">
                        <c:v>141277.62</c:v>
                      </c:pt>
                      <c:pt idx="82">
                        <c:v>139327.56</c:v>
                      </c:pt>
                      <c:pt idx="83">
                        <c:v>140931.76500000001</c:v>
                      </c:pt>
                      <c:pt idx="84">
                        <c:v>139889.12</c:v>
                      </c:pt>
                      <c:pt idx="85">
                        <c:v>137032.845</c:v>
                      </c:pt>
                      <c:pt idx="86">
                        <c:v>135919.51999999999</c:v>
                      </c:pt>
                      <c:pt idx="87">
                        <c:v>141397.5</c:v>
                      </c:pt>
                      <c:pt idx="88">
                        <c:v>147501.12</c:v>
                      </c:pt>
                      <c:pt idx="89">
                        <c:v>142870.56</c:v>
                      </c:pt>
                      <c:pt idx="90">
                        <c:v>143318.14000000001</c:v>
                      </c:pt>
                      <c:pt idx="91">
                        <c:v>137739.35999999999</c:v>
                      </c:pt>
                      <c:pt idx="92">
                        <c:v>124287.63</c:v>
                      </c:pt>
                      <c:pt idx="93">
                        <c:v>126849.625</c:v>
                      </c:pt>
                      <c:pt idx="94">
                        <c:v>129947.7</c:v>
                      </c:pt>
                      <c:pt idx="95">
                        <c:v>130074.3</c:v>
                      </c:pt>
                      <c:pt idx="96">
                        <c:v>130202.2</c:v>
                      </c:pt>
                      <c:pt idx="97">
                        <c:v>132607.46799999999</c:v>
                      </c:pt>
                      <c:pt idx="98">
                        <c:v>124945.74</c:v>
                      </c:pt>
                      <c:pt idx="99">
                        <c:v>141954.084</c:v>
                      </c:pt>
                      <c:pt idx="100">
                        <c:v>126490.455</c:v>
                      </c:pt>
                      <c:pt idx="101">
                        <c:v>126112.13</c:v>
                      </c:pt>
                      <c:pt idx="102">
                        <c:v>119297.1</c:v>
                      </c:pt>
                      <c:pt idx="103">
                        <c:v>119754.53</c:v>
                      </c:pt>
                      <c:pt idx="104">
                        <c:v>118217.94500000001</c:v>
                      </c:pt>
                      <c:pt idx="105">
                        <c:v>121569.04</c:v>
                      </c:pt>
                      <c:pt idx="106">
                        <c:v>123454.76</c:v>
                      </c:pt>
                      <c:pt idx="107">
                        <c:v>122240.3</c:v>
                      </c:pt>
                      <c:pt idx="108">
                        <c:v>134447.13</c:v>
                      </c:pt>
                      <c:pt idx="109">
                        <c:v>135549.67000000001</c:v>
                      </c:pt>
                      <c:pt idx="110">
                        <c:v>137546.27499999999</c:v>
                      </c:pt>
                      <c:pt idx="111">
                        <c:v>135545.13</c:v>
                      </c:pt>
                      <c:pt idx="112">
                        <c:v>139794.26999999999</c:v>
                      </c:pt>
                      <c:pt idx="113">
                        <c:v>133885.44</c:v>
                      </c:pt>
                      <c:pt idx="114">
                        <c:v>132063.6</c:v>
                      </c:pt>
                      <c:pt idx="115">
                        <c:v>127509.855</c:v>
                      </c:pt>
                      <c:pt idx="116">
                        <c:v>123629.145</c:v>
                      </c:pt>
                      <c:pt idx="117">
                        <c:v>131861.27499999999</c:v>
                      </c:pt>
                      <c:pt idx="118">
                        <c:v>135383.19</c:v>
                      </c:pt>
                      <c:pt idx="119">
                        <c:v>135894.005</c:v>
                      </c:pt>
                      <c:pt idx="120">
                        <c:v>124908.6</c:v>
                      </c:pt>
                      <c:pt idx="121">
                        <c:v>123889.485</c:v>
                      </c:pt>
                      <c:pt idx="122">
                        <c:v>128420.7</c:v>
                      </c:pt>
                      <c:pt idx="123">
                        <c:v>127505.655</c:v>
                      </c:pt>
                      <c:pt idx="124">
                        <c:v>132539.88</c:v>
                      </c:pt>
                      <c:pt idx="125">
                        <c:v>128547.95</c:v>
                      </c:pt>
                      <c:pt idx="126">
                        <c:v>121971.041</c:v>
                      </c:pt>
                      <c:pt idx="127">
                        <c:v>111642.09</c:v>
                      </c:pt>
                      <c:pt idx="128">
                        <c:v>110962</c:v>
                      </c:pt>
                      <c:pt idx="129">
                        <c:v>115016.7</c:v>
                      </c:pt>
                      <c:pt idx="130">
                        <c:v>129386.4</c:v>
                      </c:pt>
                      <c:pt idx="131">
                        <c:v>123494.8</c:v>
                      </c:pt>
                      <c:pt idx="132">
                        <c:v>113908.8</c:v>
                      </c:pt>
                      <c:pt idx="133">
                        <c:v>111409.58</c:v>
                      </c:pt>
                      <c:pt idx="134">
                        <c:v>102779.34</c:v>
                      </c:pt>
                      <c:pt idx="135">
                        <c:v>101742.425</c:v>
                      </c:pt>
                      <c:pt idx="136">
                        <c:v>96957.63</c:v>
                      </c:pt>
                      <c:pt idx="137">
                        <c:v>98744.68</c:v>
                      </c:pt>
                      <c:pt idx="138">
                        <c:v>90305.600000000006</c:v>
                      </c:pt>
                      <c:pt idx="139">
                        <c:v>86138.77</c:v>
                      </c:pt>
                      <c:pt idx="140">
                        <c:v>85037.1</c:v>
                      </c:pt>
                      <c:pt idx="141">
                        <c:v>82935.600000000006</c:v>
                      </c:pt>
                      <c:pt idx="142">
                        <c:v>82984.399999999994</c:v>
                      </c:pt>
                      <c:pt idx="143">
                        <c:v>85403.955000000002</c:v>
                      </c:pt>
                      <c:pt idx="144">
                        <c:v>80581.235000000001</c:v>
                      </c:pt>
                      <c:pt idx="145">
                        <c:v>78026.3</c:v>
                      </c:pt>
                      <c:pt idx="146">
                        <c:v>72738.960000000006</c:v>
                      </c:pt>
                      <c:pt idx="147">
                        <c:v>76728.009999999995</c:v>
                      </c:pt>
                      <c:pt idx="148">
                        <c:v>77678.080000000002</c:v>
                      </c:pt>
                      <c:pt idx="149">
                        <c:v>72662.264999999999</c:v>
                      </c:pt>
                      <c:pt idx="150">
                        <c:v>65809.524999999994</c:v>
                      </c:pt>
                      <c:pt idx="151">
                        <c:v>65863</c:v>
                      </c:pt>
                      <c:pt idx="152">
                        <c:v>65229.84</c:v>
                      </c:pt>
                      <c:pt idx="153">
                        <c:v>67666.368000000002</c:v>
                      </c:pt>
                      <c:pt idx="154">
                        <c:v>65718</c:v>
                      </c:pt>
                      <c:pt idx="155">
                        <c:v>63832.86</c:v>
                      </c:pt>
                      <c:pt idx="156">
                        <c:v>67622.5</c:v>
                      </c:pt>
                      <c:pt idx="157">
                        <c:v>67070.600000000006</c:v>
                      </c:pt>
                      <c:pt idx="158">
                        <c:v>63653.175000000003</c:v>
                      </c:pt>
                      <c:pt idx="159">
                        <c:v>64655.76</c:v>
                      </c:pt>
                      <c:pt idx="160">
                        <c:v>66863.67</c:v>
                      </c:pt>
                      <c:pt idx="161">
                        <c:v>67679.039999999994</c:v>
                      </c:pt>
                      <c:pt idx="162">
                        <c:v>68179.3</c:v>
                      </c:pt>
                      <c:pt idx="163">
                        <c:v>65611.62</c:v>
                      </c:pt>
                      <c:pt idx="164">
                        <c:v>67584.539999999994</c:v>
                      </c:pt>
                      <c:pt idx="165">
                        <c:v>65410.37</c:v>
                      </c:pt>
                      <c:pt idx="166">
                        <c:v>65134.35</c:v>
                      </c:pt>
                      <c:pt idx="167">
                        <c:v>68228.759999999995</c:v>
                      </c:pt>
                      <c:pt idx="168">
                        <c:v>67830</c:v>
                      </c:pt>
                      <c:pt idx="169">
                        <c:v>67173.578999999998</c:v>
                      </c:pt>
                      <c:pt idx="170">
                        <c:v>67535.831999999995</c:v>
                      </c:pt>
                      <c:pt idx="171">
                        <c:v>67326.925000000003</c:v>
                      </c:pt>
                      <c:pt idx="172">
                        <c:v>66388</c:v>
                      </c:pt>
                      <c:pt idx="173">
                        <c:v>66935.960000000006</c:v>
                      </c:pt>
                      <c:pt idx="174">
                        <c:v>70991.785000000003</c:v>
                      </c:pt>
                      <c:pt idx="175">
                        <c:v>70739.675000000003</c:v>
                      </c:pt>
                      <c:pt idx="176">
                        <c:v>69906.240000000005</c:v>
                      </c:pt>
                      <c:pt idx="177">
                        <c:v>64278.445</c:v>
                      </c:pt>
                      <c:pt idx="178">
                        <c:v>60505.66</c:v>
                      </c:pt>
                      <c:pt idx="179">
                        <c:v>61485.9</c:v>
                      </c:pt>
                      <c:pt idx="180">
                        <c:v>59389.915000000001</c:v>
                      </c:pt>
                      <c:pt idx="181">
                        <c:v>57252.69</c:v>
                      </c:pt>
                      <c:pt idx="182">
                        <c:v>57088.574999999997</c:v>
                      </c:pt>
                      <c:pt idx="183">
                        <c:v>56465.152000000002</c:v>
                      </c:pt>
                      <c:pt idx="184">
                        <c:v>56537.279999999999</c:v>
                      </c:pt>
                      <c:pt idx="185">
                        <c:v>53608.985999999997</c:v>
                      </c:pt>
                      <c:pt idx="186">
                        <c:v>51657.47</c:v>
                      </c:pt>
                      <c:pt idx="187">
                        <c:v>50597.46</c:v>
                      </c:pt>
                      <c:pt idx="188">
                        <c:v>49570.239999999998</c:v>
                      </c:pt>
                      <c:pt idx="189">
                        <c:v>51338.239999999998</c:v>
                      </c:pt>
                      <c:pt idx="190">
                        <c:v>51429</c:v>
                      </c:pt>
                      <c:pt idx="191">
                        <c:v>50511.614999999998</c:v>
                      </c:pt>
                      <c:pt idx="192">
                        <c:v>48117.760000000002</c:v>
                      </c:pt>
                      <c:pt idx="193">
                        <c:v>46931.519999999997</c:v>
                      </c:pt>
                      <c:pt idx="194">
                        <c:v>47695.266000000003</c:v>
                      </c:pt>
                      <c:pt idx="195">
                        <c:v>45754.879999999997</c:v>
                      </c:pt>
                      <c:pt idx="196">
                        <c:v>44957.919999999998</c:v>
                      </c:pt>
                      <c:pt idx="197">
                        <c:v>44086.877999999997</c:v>
                      </c:pt>
                      <c:pt idx="198">
                        <c:v>43006.2</c:v>
                      </c:pt>
                      <c:pt idx="199">
                        <c:v>43282.400000000001</c:v>
                      </c:pt>
                      <c:pt idx="200">
                        <c:v>44613.440000000002</c:v>
                      </c:pt>
                      <c:pt idx="201">
                        <c:v>44368</c:v>
                      </c:pt>
                      <c:pt idx="202">
                        <c:v>43897.88</c:v>
                      </c:pt>
                      <c:pt idx="203">
                        <c:v>43977.5</c:v>
                      </c:pt>
                      <c:pt idx="204">
                        <c:v>44252.406000000003</c:v>
                      </c:pt>
                      <c:pt idx="205">
                        <c:v>43607.19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#N/A</c:v>
                      </c:pt>
                      <c:pt idx="294">
                        <c:v>#N/A</c:v>
                      </c:pt>
                      <c:pt idx="295">
                        <c:v>#N/A</c:v>
                      </c:pt>
                      <c:pt idx="296">
                        <c:v>#N/A</c:v>
                      </c:pt>
                      <c:pt idx="297">
                        <c:v>#N/A</c:v>
                      </c:pt>
                      <c:pt idx="298">
                        <c:v>#N/A</c:v>
                      </c:pt>
                      <c:pt idx="299">
                        <c:v>#N/A</c:v>
                      </c:pt>
                      <c:pt idx="300">
                        <c:v>#N/A</c:v>
                      </c:pt>
                      <c:pt idx="301">
                        <c:v>#N/A</c:v>
                      </c:pt>
                      <c:pt idx="302">
                        <c:v>#N/A</c:v>
                      </c:pt>
                      <c:pt idx="303">
                        <c:v>#N/A</c:v>
                      </c:pt>
                      <c:pt idx="304">
                        <c:v>#N/A</c:v>
                      </c:pt>
                      <c:pt idx="305">
                        <c:v>#N/A</c:v>
                      </c:pt>
                      <c:pt idx="306">
                        <c:v>35062.048000000003</c:v>
                      </c:pt>
                      <c:pt idx="307">
                        <c:v>34941.875</c:v>
                      </c:pt>
                      <c:pt idx="308">
                        <c:v>36622.284</c:v>
                      </c:pt>
                      <c:pt idx="309">
                        <c:v>35714.216</c:v>
                      </c:pt>
                      <c:pt idx="310">
                        <c:v>36917.775000000001</c:v>
                      </c:pt>
                      <c:pt idx="311">
                        <c:v>35202.824999999997</c:v>
                      </c:pt>
                      <c:pt idx="312">
                        <c:v>35612.29</c:v>
                      </c:pt>
                      <c:pt idx="313">
                        <c:v>34926.232000000004</c:v>
                      </c:pt>
                      <c:pt idx="314">
                        <c:v>34430.620000000003</c:v>
                      </c:pt>
                      <c:pt idx="315">
                        <c:v>33882.050999999999</c:v>
                      </c:pt>
                      <c:pt idx="316">
                        <c:v>34434.18</c:v>
                      </c:pt>
                      <c:pt idx="317">
                        <c:v>35054.207999999999</c:v>
                      </c:pt>
                      <c:pt idx="318">
                        <c:v>35612.29</c:v>
                      </c:pt>
                      <c:pt idx="319">
                        <c:v>35986.892500000002</c:v>
                      </c:pt>
                      <c:pt idx="320">
                        <c:v>36522.224000000002</c:v>
                      </c:pt>
                      <c:pt idx="321">
                        <c:v>36499.050000000003</c:v>
                      </c:pt>
                      <c:pt idx="322">
                        <c:v>36730.79</c:v>
                      </c:pt>
                      <c:pt idx="323">
                        <c:v>37588.228000000003</c:v>
                      </c:pt>
                      <c:pt idx="324">
                        <c:v>37378.048999999999</c:v>
                      </c:pt>
                      <c:pt idx="325">
                        <c:v>37450.800000000003</c:v>
                      </c:pt>
                      <c:pt idx="326">
                        <c:v>37952.207999999999</c:v>
                      </c:pt>
                      <c:pt idx="327">
                        <c:v>34913.597999999998</c:v>
                      </c:pt>
                      <c:pt idx="328">
                        <c:v>34474.608</c:v>
                      </c:pt>
                      <c:pt idx="329">
                        <c:v>34385.364000000001</c:v>
                      </c:pt>
                      <c:pt idx="330">
                        <c:v>33048.192000000003</c:v>
                      </c:pt>
                      <c:pt idx="331">
                        <c:v>33283.14</c:v>
                      </c:pt>
                      <c:pt idx="332">
                        <c:v>34288.555</c:v>
                      </c:pt>
                      <c:pt idx="333">
                        <c:v>33963.980000000003</c:v>
                      </c:pt>
                      <c:pt idx="334">
                        <c:v>33761.699999999997</c:v>
                      </c:pt>
                      <c:pt idx="335">
                        <c:v>33415.72</c:v>
                      </c:pt>
                      <c:pt idx="336">
                        <c:v>32876.800000000003</c:v>
                      </c:pt>
                      <c:pt idx="337">
                        <c:v>33404.050000000003</c:v>
                      </c:pt>
                      <c:pt idx="338">
                        <c:v>33595.752</c:v>
                      </c:pt>
                      <c:pt idx="339">
                        <c:v>32644.15</c:v>
                      </c:pt>
                      <c:pt idx="340">
                        <c:v>33167.599999999999</c:v>
                      </c:pt>
                      <c:pt idx="341">
                        <c:v>33094.591999999997</c:v>
                      </c:pt>
                      <c:pt idx="342">
                        <c:v>33356.26</c:v>
                      </c:pt>
                      <c:pt idx="343">
                        <c:v>33965.56</c:v>
                      </c:pt>
                      <c:pt idx="344">
                        <c:v>33302.803999999996</c:v>
                      </c:pt>
                      <c:pt idx="345">
                        <c:v>32913.705000000002</c:v>
                      </c:pt>
                      <c:pt idx="346">
                        <c:v>33283.14</c:v>
                      </c:pt>
                      <c:pt idx="347">
                        <c:v>33674.76</c:v>
                      </c:pt>
                      <c:pt idx="348">
                        <c:v>33901.324000000001</c:v>
                      </c:pt>
                      <c:pt idx="349">
                        <c:v>34184.569000000003</c:v>
                      </c:pt>
                      <c:pt idx="350">
                        <c:v>33368.576999999997</c:v>
                      </c:pt>
                      <c:pt idx="351">
                        <c:v>33950.563999999998</c:v>
                      </c:pt>
                      <c:pt idx="352">
                        <c:v>34683.993000000002</c:v>
                      </c:pt>
                      <c:pt idx="353">
                        <c:v>32763.794000000002</c:v>
                      </c:pt>
                      <c:pt idx="354">
                        <c:v>33322.773999999998</c:v>
                      </c:pt>
                      <c:pt idx="355">
                        <c:v>34520.32</c:v>
                      </c:pt>
                      <c:pt idx="356">
                        <c:v>34459.737999999998</c:v>
                      </c:pt>
                      <c:pt idx="357">
                        <c:v>34452.303</c:v>
                      </c:pt>
                      <c:pt idx="358">
                        <c:v>36537.512999999999</c:v>
                      </c:pt>
                      <c:pt idx="359">
                        <c:v>35468.677000000003</c:v>
                      </c:pt>
                      <c:pt idx="360">
                        <c:v>35913.599999999999</c:v>
                      </c:pt>
                      <c:pt idx="361">
                        <c:v>36459.396000000001</c:v>
                      </c:pt>
                      <c:pt idx="362">
                        <c:v>36911.199999999997</c:v>
                      </c:pt>
                      <c:pt idx="363">
                        <c:v>35912.052000000003</c:v>
                      </c:pt>
                      <c:pt idx="364">
                        <c:v>34617.383999999998</c:v>
                      </c:pt>
                      <c:pt idx="365">
                        <c:v>33342.711000000003</c:v>
                      </c:pt>
                      <c:pt idx="366">
                        <c:v>33338.400000000001</c:v>
                      </c:pt>
                      <c:pt idx="367">
                        <c:v>34359.199999999997</c:v>
                      </c:pt>
                      <c:pt idx="368">
                        <c:v>35542.400000000001</c:v>
                      </c:pt>
                      <c:pt idx="369">
                        <c:v>35280.720000000001</c:v>
                      </c:pt>
                      <c:pt idx="370">
                        <c:v>35526.855000000003</c:v>
                      </c:pt>
                      <c:pt idx="371">
                        <c:v>34147.455999999998</c:v>
                      </c:pt>
                      <c:pt idx="372">
                        <c:v>35992.506000000001</c:v>
                      </c:pt>
                      <c:pt idx="373">
                        <c:v>35913.599999999999</c:v>
                      </c:pt>
                      <c:pt idx="374">
                        <c:v>35712.36</c:v>
                      </c:pt>
                      <c:pt idx="375">
                        <c:v>34684</c:v>
                      </c:pt>
                      <c:pt idx="376">
                        <c:v>34767.082000000002</c:v>
                      </c:pt>
                      <c:pt idx="377">
                        <c:v>36376.338000000003</c:v>
                      </c:pt>
                      <c:pt idx="378">
                        <c:v>36354.400000000001</c:v>
                      </c:pt>
                      <c:pt idx="379">
                        <c:v>37509.360000000001</c:v>
                      </c:pt>
                      <c:pt idx="380">
                        <c:v>36596.699999999997</c:v>
                      </c:pt>
                      <c:pt idx="381">
                        <c:v>35851.004999999997</c:v>
                      </c:pt>
                      <c:pt idx="382">
                        <c:v>35220.01</c:v>
                      </c:pt>
                      <c:pt idx="383">
                        <c:v>34640.879999999997</c:v>
                      </c:pt>
                      <c:pt idx="384">
                        <c:v>33187.572</c:v>
                      </c:pt>
                      <c:pt idx="385">
                        <c:v>32191.84</c:v>
                      </c:pt>
                      <c:pt idx="386">
                        <c:v>32733.15</c:v>
                      </c:pt>
                      <c:pt idx="387">
                        <c:v>33319.508000000002</c:v>
                      </c:pt>
                      <c:pt idx="388">
                        <c:v>33425.436000000002</c:v>
                      </c:pt>
                      <c:pt idx="389">
                        <c:v>33985.07</c:v>
                      </c:pt>
                      <c:pt idx="390">
                        <c:v>34614.400000000001</c:v>
                      </c:pt>
                      <c:pt idx="391">
                        <c:v>34869.599999999999</c:v>
                      </c:pt>
                      <c:pt idx="392">
                        <c:v>34333.040000000001</c:v>
                      </c:pt>
                      <c:pt idx="393">
                        <c:v>34447.544999999998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264-4DA7-A5E6-9256AAE1C46B}"/>
                  </c:ext>
                </c:extLst>
              </c15:ser>
            </c15:filteredLineSeries>
          </c:ext>
        </c:extLst>
      </c:lineChart>
      <c:dateAx>
        <c:axId val="95122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57024"/>
        <c:crosses val="autoZero"/>
        <c:auto val="1"/>
        <c:lblOffset val="100"/>
        <c:baseTimeUnit val="days"/>
      </c:dateAx>
      <c:valAx>
        <c:axId val="957457024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Farmer Margin (Rolling 4w Farmer price - COP)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HISTORICAL!$I$1</c:f>
              <c:strCache>
                <c:ptCount val="1"/>
                <c:pt idx="0">
                  <c:v>Avg Farmer Margin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HISTORICAL!$A$2:$A$395</c:f>
              <c:numCache>
                <c:formatCode>m/d/yyyy</c:formatCode>
                <c:ptCount val="394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</c:numCache>
            </c:numRef>
          </c:cat>
          <c:val>
            <c:numRef>
              <c:f>HISTORICAL!$I$2:$I$395</c:f>
              <c:numCache>
                <c:formatCode>#,##0</c:formatCode>
                <c:ptCount val="394"/>
                <c:pt idx="0">
                  <c:v>53713.778749999998</c:v>
                </c:pt>
                <c:pt idx="1">
                  <c:v>56287.126749999996</c:v>
                </c:pt>
                <c:pt idx="2">
                  <c:v>56713.771999999997</c:v>
                </c:pt>
                <c:pt idx="3">
                  <c:v>57623.789999999994</c:v>
                </c:pt>
                <c:pt idx="4">
                  <c:v>57256.278250000003</c:v>
                </c:pt>
                <c:pt idx="5">
                  <c:v>58928.683250000002</c:v>
                </c:pt>
                <c:pt idx="6">
                  <c:v>61064.551999999996</c:v>
                </c:pt>
                <c:pt idx="7">
                  <c:v>61789.84599999999</c:v>
                </c:pt>
                <c:pt idx="8">
                  <c:v>64512.640500000009</c:v>
                </c:pt>
                <c:pt idx="9">
                  <c:v>65793.277750000008</c:v>
                </c:pt>
                <c:pt idx="10">
                  <c:v>65752.704750000004</c:v>
                </c:pt>
                <c:pt idx="11">
                  <c:v>66929.388999999996</c:v>
                </c:pt>
                <c:pt idx="12">
                  <c:v>68732.792000000001</c:v>
                </c:pt>
                <c:pt idx="13">
                  <c:v>69014.650999999998</c:v>
                </c:pt>
                <c:pt idx="14">
                  <c:v>69107.717999999993</c:v>
                </c:pt>
                <c:pt idx="15">
                  <c:v>68285.921249999985</c:v>
                </c:pt>
                <c:pt idx="16">
                  <c:v>64518.734999999986</c:v>
                </c:pt>
                <c:pt idx="17">
                  <c:v>61664.583749999991</c:v>
                </c:pt>
                <c:pt idx="18">
                  <c:v>60312.861250000002</c:v>
                </c:pt>
                <c:pt idx="19">
                  <c:v>59138.016249999986</c:v>
                </c:pt>
                <c:pt idx="20">
                  <c:v>60150.549999999988</c:v>
                </c:pt>
                <c:pt idx="21">
                  <c:v>61131.09</c:v>
                </c:pt>
                <c:pt idx="22">
                  <c:v>60801.868749999994</c:v>
                </c:pt>
                <c:pt idx="23">
                  <c:v>61263.515749999991</c:v>
                </c:pt>
                <c:pt idx="24">
                  <c:v>59960.542750000008</c:v>
                </c:pt>
                <c:pt idx="25">
                  <c:v>58157.622749999995</c:v>
                </c:pt>
                <c:pt idx="26">
                  <c:v>57360.586500000005</c:v>
                </c:pt>
                <c:pt idx="27">
                  <c:v>57048.616000000009</c:v>
                </c:pt>
                <c:pt idx="28">
                  <c:v>58680.260250000007</c:v>
                </c:pt>
                <c:pt idx="29">
                  <c:v>60756.982749999996</c:v>
                </c:pt>
                <c:pt idx="30">
                  <c:v>63454.395250000001</c:v>
                </c:pt>
                <c:pt idx="31">
                  <c:v>63793.698749999996</c:v>
                </c:pt>
                <c:pt idx="32">
                  <c:v>62895.462499999994</c:v>
                </c:pt>
                <c:pt idx="33">
                  <c:v>63619.432499999995</c:v>
                </c:pt>
                <c:pt idx="34">
                  <c:v>62832.592499999999</c:v>
                </c:pt>
                <c:pt idx="35">
                  <c:v>65203</c:v>
                </c:pt>
                <c:pt idx="36">
                  <c:v>67669.073000000004</c:v>
                </c:pt>
                <c:pt idx="37">
                  <c:v>69015.157999999996</c:v>
                </c:pt>
                <c:pt idx="38">
                  <c:v>70195.380499999999</c:v>
                </c:pt>
                <c:pt idx="39">
                  <c:v>69455.156749999995</c:v>
                </c:pt>
                <c:pt idx="40">
                  <c:v>68135.688749999987</c:v>
                </c:pt>
                <c:pt idx="41">
                  <c:v>66048.914999999994</c:v>
                </c:pt>
                <c:pt idx="42">
                  <c:v>67163.954999999987</c:v>
                </c:pt>
                <c:pt idx="43">
                  <c:v>69203.973750000005</c:v>
                </c:pt>
                <c:pt idx="44">
                  <c:v>73485.205749999994</c:v>
                </c:pt>
                <c:pt idx="45">
                  <c:v>80441.79849999999</c:v>
                </c:pt>
                <c:pt idx="46">
                  <c:v>82641.035999999993</c:v>
                </c:pt>
                <c:pt idx="47">
                  <c:v>85000.378499999992</c:v>
                </c:pt>
                <c:pt idx="48">
                  <c:v>86593.970249999984</c:v>
                </c:pt>
                <c:pt idx="49">
                  <c:v>85806.251749999996</c:v>
                </c:pt>
                <c:pt idx="50">
                  <c:v>86952.149250000002</c:v>
                </c:pt>
                <c:pt idx="51">
                  <c:v>86772.774749999997</c:v>
                </c:pt>
                <c:pt idx="52">
                  <c:v>85242.444749999995</c:v>
                </c:pt>
                <c:pt idx="53">
                  <c:v>82755.886750000005</c:v>
                </c:pt>
                <c:pt idx="54">
                  <c:v>83420.885500000004</c:v>
                </c:pt>
                <c:pt idx="55">
                  <c:v>85623.666249999995</c:v>
                </c:pt>
                <c:pt idx="56">
                  <c:v>88018.127500000002</c:v>
                </c:pt>
                <c:pt idx="57">
                  <c:v>95417.20749999999</c:v>
                </c:pt>
                <c:pt idx="58">
                  <c:v>97476.598750000005</c:v>
                </c:pt>
                <c:pt idx="59">
                  <c:v>94222.02</c:v>
                </c:pt>
                <c:pt idx="60">
                  <c:v>87552.067500000005</c:v>
                </c:pt>
                <c:pt idx="61">
                  <c:v>76153.344249999995</c:v>
                </c:pt>
                <c:pt idx="62">
                  <c:v>66832.441749999998</c:v>
                </c:pt>
                <c:pt idx="63">
                  <c:v>60911.19425</c:v>
                </c:pt>
                <c:pt idx="64">
                  <c:v>58505.591750000007</c:v>
                </c:pt>
                <c:pt idx="65">
                  <c:v>59309.913750000007</c:v>
                </c:pt>
                <c:pt idx="66">
                  <c:v>60383.891250000015</c:v>
                </c:pt>
                <c:pt idx="67">
                  <c:v>63018.099000000002</c:v>
                </c:pt>
                <c:pt idx="68">
                  <c:v>68621.16399999999</c:v>
                </c:pt>
                <c:pt idx="69">
                  <c:v>73380.67525</c:v>
                </c:pt>
                <c:pt idx="70">
                  <c:v>78433.350250000003</c:v>
                </c:pt>
                <c:pt idx="71">
                  <c:v>84357.827499999999</c:v>
                </c:pt>
                <c:pt idx="72">
                  <c:v>88375.237500000003</c:v>
                </c:pt>
                <c:pt idx="73">
                  <c:v>93513.479500000001</c:v>
                </c:pt>
                <c:pt idx="74">
                  <c:v>99283.334499999997</c:v>
                </c:pt>
                <c:pt idx="75">
                  <c:v>103737.63750000001</c:v>
                </c:pt>
                <c:pt idx="76">
                  <c:v>105932.32225</c:v>
                </c:pt>
                <c:pt idx="77">
                  <c:v>103401.56024999998</c:v>
                </c:pt>
                <c:pt idx="78">
                  <c:v>102875.06024999998</c:v>
                </c:pt>
                <c:pt idx="79">
                  <c:v>101290.06975000002</c:v>
                </c:pt>
                <c:pt idx="80">
                  <c:v>101597.84625</c:v>
                </c:pt>
                <c:pt idx="81">
                  <c:v>104356.51624999999</c:v>
                </c:pt>
                <c:pt idx="82">
                  <c:v>103295.32250000001</c:v>
                </c:pt>
                <c:pt idx="83">
                  <c:v>102443.3125</c:v>
                </c:pt>
                <c:pt idx="84">
                  <c:v>102559.74625</c:v>
                </c:pt>
                <c:pt idx="85">
                  <c:v>104462.74625</c:v>
                </c:pt>
                <c:pt idx="86">
                  <c:v>105922.17499999999</c:v>
                </c:pt>
                <c:pt idx="87">
                  <c:v>107771.83000000002</c:v>
                </c:pt>
                <c:pt idx="88">
                  <c:v>106857.29499999998</c:v>
                </c:pt>
                <c:pt idx="89">
                  <c:v>101053.92249999999</c:v>
                </c:pt>
                <c:pt idx="90">
                  <c:v>97048.688750000001</c:v>
                </c:pt>
                <c:pt idx="91">
                  <c:v>93706.078750000001</c:v>
                </c:pt>
                <c:pt idx="92">
                  <c:v>91789.813750000001</c:v>
                </c:pt>
                <c:pt idx="93">
                  <c:v>93268.456250000003</c:v>
                </c:pt>
                <c:pt idx="94">
                  <c:v>94707.917000000001</c:v>
                </c:pt>
                <c:pt idx="95">
                  <c:v>93457.426999999996</c:v>
                </c:pt>
                <c:pt idx="96">
                  <c:v>96427.372999999992</c:v>
                </c:pt>
                <c:pt idx="97">
                  <c:v>95499.436749999993</c:v>
                </c:pt>
                <c:pt idx="98">
                  <c:v>93875.602250000011</c:v>
                </c:pt>
                <c:pt idx="99">
                  <c:v>92463.442249999993</c:v>
                </c:pt>
                <c:pt idx="100">
                  <c:v>86913.553750000021</c:v>
                </c:pt>
                <c:pt idx="101">
                  <c:v>84845.426250000004</c:v>
                </c:pt>
                <c:pt idx="102">
                  <c:v>83709.653749999998</c:v>
                </c:pt>
                <c:pt idx="103">
                  <c:v>84749.068750000006</c:v>
                </c:pt>
                <c:pt idx="104">
                  <c:v>85370.511249999996</c:v>
                </c:pt>
                <c:pt idx="105">
                  <c:v>89427.807499999995</c:v>
                </c:pt>
                <c:pt idx="106">
                  <c:v>92922.964999999997</c:v>
                </c:pt>
                <c:pt idx="107">
                  <c:v>96445.84375</c:v>
                </c:pt>
                <c:pt idx="108">
                  <c:v>99772.051250000019</c:v>
                </c:pt>
                <c:pt idx="109">
                  <c:v>101108.83624999999</c:v>
                </c:pt>
                <c:pt idx="110">
                  <c:v>100692.77875</c:v>
                </c:pt>
                <c:pt idx="111">
                  <c:v>99322.110000000015</c:v>
                </c:pt>
                <c:pt idx="112">
                  <c:v>97313.29124999998</c:v>
                </c:pt>
                <c:pt idx="113">
                  <c:v>93272.010000000009</c:v>
                </c:pt>
                <c:pt idx="114">
                  <c:v>92765.96875</c:v>
                </c:pt>
                <c:pt idx="115">
                  <c:v>93595.866250000006</c:v>
                </c:pt>
                <c:pt idx="116">
                  <c:v>95691.903749999998</c:v>
                </c:pt>
                <c:pt idx="117">
                  <c:v>96011.767499999987</c:v>
                </c:pt>
                <c:pt idx="118">
                  <c:v>94018.82</c:v>
                </c:pt>
                <c:pt idx="119">
                  <c:v>92278.197500000009</c:v>
                </c:pt>
                <c:pt idx="120">
                  <c:v>90181.110000000015</c:v>
                </c:pt>
                <c:pt idx="121">
                  <c:v>92088.93</c:v>
                </c:pt>
                <c:pt idx="122">
                  <c:v>93253.546249999999</c:v>
                </c:pt>
                <c:pt idx="123">
                  <c:v>91641.131499999989</c:v>
                </c:pt>
                <c:pt idx="124">
                  <c:v>87675.240250000003</c:v>
                </c:pt>
                <c:pt idx="125">
                  <c:v>82280.770250000001</c:v>
                </c:pt>
                <c:pt idx="126">
                  <c:v>78897.957750000001</c:v>
                </c:pt>
                <c:pt idx="127">
                  <c:v>80751.797499999986</c:v>
                </c:pt>
                <c:pt idx="128">
                  <c:v>83714.974999999991</c:v>
                </c:pt>
                <c:pt idx="129">
                  <c:v>84451.674999999988</c:v>
                </c:pt>
                <c:pt idx="130">
                  <c:v>83549.895000000004</c:v>
                </c:pt>
                <c:pt idx="131">
                  <c:v>76898.13</c:v>
                </c:pt>
                <c:pt idx="132">
                  <c:v>71460.03624999999</c:v>
                </c:pt>
                <c:pt idx="133">
                  <c:v>67222.243749999994</c:v>
                </c:pt>
                <c:pt idx="134">
                  <c:v>64056.018750000003</c:v>
                </c:pt>
                <c:pt idx="135">
                  <c:v>60937.583749999991</c:v>
                </c:pt>
                <c:pt idx="136">
                  <c:v>57036.670000000013</c:v>
                </c:pt>
                <c:pt idx="137">
                  <c:v>54056.537500000006</c:v>
                </c:pt>
                <c:pt idx="138">
                  <c:v>50104.267500000002</c:v>
                </c:pt>
                <c:pt idx="139">
                  <c:v>48273.967499999999</c:v>
                </c:pt>
                <c:pt idx="140">
                  <c:v>48090.263749999998</c:v>
                </c:pt>
                <c:pt idx="141">
                  <c:v>46976.297500000001</c:v>
                </c:pt>
                <c:pt idx="142">
                  <c:v>45748.972499999989</c:v>
                </c:pt>
                <c:pt idx="143">
                  <c:v>43187.612500000003</c:v>
                </c:pt>
                <c:pt idx="144">
                  <c:v>41018.626250000001</c:v>
                </c:pt>
                <c:pt idx="145">
                  <c:v>40292.837500000009</c:v>
                </c:pt>
                <c:pt idx="146">
                  <c:v>38951.828750000001</c:v>
                </c:pt>
                <c:pt idx="147">
                  <c:v>37219.47</c:v>
                </c:pt>
                <c:pt idx="148">
                  <c:v>34503.217499999999</c:v>
                </c:pt>
                <c:pt idx="149">
                  <c:v>31391.157500000001</c:v>
                </c:pt>
                <c:pt idx="150">
                  <c:v>30142.183250000002</c:v>
                </c:pt>
                <c:pt idx="151">
                  <c:v>30119.301999999996</c:v>
                </c:pt>
                <c:pt idx="152">
                  <c:v>29611.766999999993</c:v>
                </c:pt>
                <c:pt idx="153">
                  <c:v>30209.932000000001</c:v>
                </c:pt>
                <c:pt idx="154">
                  <c:v>30060.989999999991</c:v>
                </c:pt>
                <c:pt idx="155">
                  <c:v>29544.783750000002</c:v>
                </c:pt>
                <c:pt idx="156">
                  <c:v>29750.508750000008</c:v>
                </c:pt>
                <c:pt idx="157">
                  <c:v>29560.801250000004</c:v>
                </c:pt>
                <c:pt idx="158">
                  <c:v>29712.91124999999</c:v>
                </c:pt>
                <c:pt idx="159">
                  <c:v>30844.44249999999</c:v>
                </c:pt>
                <c:pt idx="160">
                  <c:v>31083.407500000001</c:v>
                </c:pt>
                <c:pt idx="161">
                  <c:v>31263.625</c:v>
                </c:pt>
                <c:pt idx="162">
                  <c:v>30696.45749999999</c:v>
                </c:pt>
                <c:pt idx="163">
                  <c:v>29935.219999999987</c:v>
                </c:pt>
                <c:pt idx="164">
                  <c:v>30589.505000000005</c:v>
                </c:pt>
                <c:pt idx="165">
                  <c:v>30650.869999999995</c:v>
                </c:pt>
                <c:pt idx="166">
                  <c:v>31091.672250000003</c:v>
                </c:pt>
                <c:pt idx="167">
                  <c:v>31692.042749999993</c:v>
                </c:pt>
                <c:pt idx="168">
                  <c:v>31466.584000000003</c:v>
                </c:pt>
                <c:pt idx="169">
                  <c:v>31106.084000000003</c:v>
                </c:pt>
                <c:pt idx="170">
                  <c:v>31046.679250000001</c:v>
                </c:pt>
                <c:pt idx="171">
                  <c:v>31910.66750000001</c:v>
                </c:pt>
                <c:pt idx="172">
                  <c:v>32763.85500000001</c:v>
                </c:pt>
                <c:pt idx="173">
                  <c:v>33643.414999999994</c:v>
                </c:pt>
                <c:pt idx="174">
                  <c:v>32979.036250000005</c:v>
                </c:pt>
                <c:pt idx="175">
                  <c:v>30357.505000000005</c:v>
                </c:pt>
                <c:pt idx="176">
                  <c:v>28044.061249999999</c:v>
                </c:pt>
                <c:pt idx="177">
                  <c:v>25414.980000000003</c:v>
                </c:pt>
                <c:pt idx="178">
                  <c:v>23658.541250000002</c:v>
                </c:pt>
                <c:pt idx="179">
                  <c:v>22804.270000000004</c:v>
                </c:pt>
                <c:pt idx="180">
                  <c:v>21549.082999999999</c:v>
                </c:pt>
                <c:pt idx="181">
                  <c:v>20835.924250000004</c:v>
                </c:pt>
                <c:pt idx="182">
                  <c:v>19924.998249999997</c:v>
                </c:pt>
                <c:pt idx="183">
                  <c:v>18567.222000000002</c:v>
                </c:pt>
                <c:pt idx="184">
                  <c:v>17100.298999999999</c:v>
                </c:pt>
                <c:pt idx="185">
                  <c:v>15358.538999999997</c:v>
                </c:pt>
                <c:pt idx="186">
                  <c:v>14790.852499999994</c:v>
                </c:pt>
                <c:pt idx="187">
                  <c:v>14733.735000000001</c:v>
                </c:pt>
                <c:pt idx="188">
                  <c:v>14712.273749999993</c:v>
                </c:pt>
                <c:pt idx="189">
                  <c:v>14349.153749999998</c:v>
                </c:pt>
                <c:pt idx="190">
                  <c:v>13247.473749999997</c:v>
                </c:pt>
                <c:pt idx="191">
                  <c:v>12314.040249999998</c:v>
                </c:pt>
                <c:pt idx="192">
                  <c:v>11124.856500000002</c:v>
                </c:pt>
                <c:pt idx="193">
                  <c:v>10334.896500000003</c:v>
                </c:pt>
                <c:pt idx="194">
                  <c:v>9623.7359999999971</c:v>
                </c:pt>
                <c:pt idx="195">
                  <c:v>8451.469499999992</c:v>
                </c:pt>
                <c:pt idx="196">
                  <c:v>7833.3494999999966</c:v>
                </c:pt>
                <c:pt idx="197">
                  <c:v>7747.2295000000013</c:v>
                </c:pt>
                <c:pt idx="198">
                  <c:v>7817.510000000002</c:v>
                </c:pt>
                <c:pt idx="199">
                  <c:v>8040.43</c:v>
                </c:pt>
                <c:pt idx="200">
                  <c:v>8214.2050000000017</c:v>
                </c:pt>
                <c:pt idx="201">
                  <c:v>8123.9465000000055</c:v>
                </c:pt>
                <c:pt idx="202">
                  <c:v>7933.7440000000061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-414.89424999999756</c:v>
                </c:pt>
                <c:pt idx="307">
                  <c:v>49.037499999998545</c:v>
                </c:pt>
                <c:pt idx="308">
                  <c:v>114.27499999999418</c:v>
                </c:pt>
                <c:pt idx="309">
                  <c:v>-138.22350000000006</c:v>
                </c:pt>
                <c:pt idx="310">
                  <c:v>-335.21949999999197</c:v>
                </c:pt>
                <c:pt idx="311">
                  <c:v>-957.00824999999895</c:v>
                </c:pt>
                <c:pt idx="312">
                  <c:v>-1287.2017500000002</c:v>
                </c:pt>
                <c:pt idx="313">
                  <c:v>-1581.7292499999967</c:v>
                </c:pt>
                <c:pt idx="314">
                  <c:v>-1549.7352499999979</c:v>
                </c:pt>
                <c:pt idx="315">
                  <c:v>-1254.317750000002</c:v>
                </c:pt>
                <c:pt idx="316">
                  <c:v>-728.10737499999232</c:v>
                </c:pt>
                <c:pt idx="317">
                  <c:v>-206.09637500000099</c:v>
                </c:pt>
                <c:pt idx="318">
                  <c:v>155.11412500000006</c:v>
                </c:pt>
                <c:pt idx="319">
                  <c:v>434.73912500000006</c:v>
                </c:pt>
                <c:pt idx="320">
                  <c:v>835.07300000000396</c:v>
                </c:pt>
                <c:pt idx="321">
                  <c:v>1049.0292499999996</c:v>
                </c:pt>
                <c:pt idx="322">
                  <c:v>1286.9667500000069</c:v>
                </c:pt>
                <c:pt idx="323">
                  <c:v>1592.3212500000009</c:v>
                </c:pt>
                <c:pt idx="324">
                  <c:v>923.66374999999971</c:v>
                </c:pt>
                <c:pt idx="325">
                  <c:v>197.8035000000018</c:v>
                </c:pt>
                <c:pt idx="326">
                  <c:v>-568.55550000000221</c:v>
                </c:pt>
                <c:pt idx="327">
                  <c:v>-1794.5594999999958</c:v>
                </c:pt>
                <c:pt idx="328">
                  <c:v>-2202.1739999999991</c:v>
                </c:pt>
                <c:pt idx="329">
                  <c:v>-2248.6872499999954</c:v>
                </c:pt>
                <c:pt idx="330">
                  <c:v>-2354.0332500000004</c:v>
                </c:pt>
                <c:pt idx="331">
                  <c:v>-2175.65625</c:v>
                </c:pt>
                <c:pt idx="332">
                  <c:v>-2142.5112499999959</c:v>
                </c:pt>
                <c:pt idx="333">
                  <c:v>-2495.4499999999971</c:v>
                </c:pt>
                <c:pt idx="334">
                  <c:v>-2635.4324999999953</c:v>
                </c:pt>
                <c:pt idx="335">
                  <c:v>-2676.9194999999963</c:v>
                </c:pt>
                <c:pt idx="336">
                  <c:v>-2869.8119999999981</c:v>
                </c:pt>
                <c:pt idx="337">
                  <c:v>-2797.112000000001</c:v>
                </c:pt>
                <c:pt idx="338">
                  <c:v>-2874.476499999997</c:v>
                </c:pt>
                <c:pt idx="339">
                  <c:v>-2934.3494999999966</c:v>
                </c:pt>
                <c:pt idx="340">
                  <c:v>-2603.997000000003</c:v>
                </c:pt>
                <c:pt idx="341">
                  <c:v>-2570.1960000000036</c:v>
                </c:pt>
                <c:pt idx="342">
                  <c:v>-2615.4177499999932</c:v>
                </c:pt>
                <c:pt idx="343">
                  <c:v>-2633.6977499999994</c:v>
                </c:pt>
                <c:pt idx="344">
                  <c:v>-2706.3977500000037</c:v>
                </c:pt>
                <c:pt idx="345">
                  <c:v>-2556.7677499999991</c:v>
                </c:pt>
                <c:pt idx="346">
                  <c:v>-2239.0517499999987</c:v>
                </c:pt>
                <c:pt idx="347">
                  <c:v>-2217.6924999999974</c:v>
                </c:pt>
                <c:pt idx="348">
                  <c:v>-2148.7415000000037</c:v>
                </c:pt>
                <c:pt idx="349">
                  <c:v>-1953.0742499999978</c:v>
                </c:pt>
                <c:pt idx="350">
                  <c:v>-2308.2679999999964</c:v>
                </c:pt>
                <c:pt idx="351">
                  <c:v>-2319.71875</c:v>
                </c:pt>
                <c:pt idx="352">
                  <c:v>-2177.2797499999942</c:v>
                </c:pt>
                <c:pt idx="353">
                  <c:v>-2233.3435000000027</c:v>
                </c:pt>
                <c:pt idx="354">
                  <c:v>-1811.2162499999977</c:v>
                </c:pt>
                <c:pt idx="355">
                  <c:v>-1007.5315000000046</c:v>
                </c:pt>
                <c:pt idx="356">
                  <c:v>-770.44225000000006</c:v>
                </c:pt>
                <c:pt idx="357">
                  <c:v>-406.97675000000163</c:v>
                </c:pt>
                <c:pt idx="358">
                  <c:v>94.796500000004016</c:v>
                </c:pt>
                <c:pt idx="359">
                  <c:v>188.21825000000536</c:v>
                </c:pt>
                <c:pt idx="360">
                  <c:v>299.06199999999808</c:v>
                </c:pt>
                <c:pt idx="361">
                  <c:v>-24.992000000005646</c:v>
                </c:pt>
                <c:pt idx="362">
                  <c:v>-804.16324999999779</c:v>
                </c:pt>
                <c:pt idx="363">
                  <c:v>-1697.3632500000022</c:v>
                </c:pt>
                <c:pt idx="364">
                  <c:v>-2085.5762499999983</c:v>
                </c:pt>
                <c:pt idx="365">
                  <c:v>-1854.3222499999974</c:v>
                </c:pt>
                <c:pt idx="366">
                  <c:v>-1369.8199999999997</c:v>
                </c:pt>
                <c:pt idx="367">
                  <c:v>-822.70624999999563</c:v>
                </c:pt>
                <c:pt idx="368">
                  <c:v>-875.64224999999715</c:v>
                </c:pt>
                <c:pt idx="369">
                  <c:v>-763.11574999999721</c:v>
                </c:pt>
                <c:pt idx="370">
                  <c:v>-604.89574999999604</c:v>
                </c:pt>
                <c:pt idx="371">
                  <c:v>-558.51949999999488</c:v>
                </c:pt>
                <c:pt idx="372">
                  <c:v>-424.38349999999627</c:v>
                </c:pt>
                <c:pt idx="373">
                  <c:v>-730.73950000000332</c:v>
                </c:pt>
                <c:pt idx="374">
                  <c:v>-615.05499999999302</c:v>
                </c:pt>
                <c:pt idx="375">
                  <c:v>-454.54499999999825</c:v>
                </c:pt>
                <c:pt idx="376">
                  <c:v>251.79499999999825</c:v>
                </c:pt>
                <c:pt idx="377">
                  <c:v>709.19950000000244</c:v>
                </c:pt>
                <c:pt idx="378">
                  <c:v>577.86624999999913</c:v>
                </c:pt>
                <c:pt idx="379">
                  <c:v>294.26875000000291</c:v>
                </c:pt>
                <c:pt idx="380">
                  <c:v>-422.85124999999971</c:v>
                </c:pt>
                <c:pt idx="381">
                  <c:v>-1275.133249999999</c:v>
                </c:pt>
                <c:pt idx="382">
                  <c:v>-2189.924500000001</c:v>
                </c:pt>
                <c:pt idx="383">
                  <c:v>-2811.6395000000048</c:v>
                </c:pt>
                <c:pt idx="384">
                  <c:v>-3141.9824999999983</c:v>
                </c:pt>
                <c:pt idx="385">
                  <c:v>-3082.5164999999979</c:v>
                </c:pt>
                <c:pt idx="386">
                  <c:v>-2634.2090000000026</c:v>
                </c:pt>
                <c:pt idx="387">
                  <c:v>-2163.8965000000026</c:v>
                </c:pt>
                <c:pt idx="388">
                  <c:v>-1776.3735000000015</c:v>
                </c:pt>
                <c:pt idx="389">
                  <c:v>-1549.4724999999962</c:v>
                </c:pt>
                <c:pt idx="390">
                  <c:v>-1433.8537499999948</c:v>
                </c:pt>
                <c:pt idx="391">
                  <c:v>-1449.9383333333317</c:v>
                </c:pt>
                <c:pt idx="392">
                  <c:v>-1609.7075000000041</c:v>
                </c:pt>
                <c:pt idx="393">
                  <c:v>-1552.4550000000017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7-4BD9-BC3D-D34B4193D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32431"/>
        <c:axId val="28628111"/>
      </c:lineChart>
      <c:dateAx>
        <c:axId val="286324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8111"/>
        <c:crosses val="autoZero"/>
        <c:auto val="1"/>
        <c:lblOffset val="100"/>
        <c:baseTimeUnit val="days"/>
      </c:dateAx>
      <c:valAx>
        <c:axId val="286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562616</xdr:colOff>
      <xdr:row>40</xdr:row>
      <xdr:rowOff>125458</xdr:rowOff>
    </xdr:from>
    <xdr:to>
      <xdr:col>32</xdr:col>
      <xdr:colOff>38100</xdr:colOff>
      <xdr:row>63</xdr:row>
      <xdr:rowOff>104775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631C927F-B74B-D4CD-BF66-BC26DE985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311724</xdr:colOff>
      <xdr:row>7</xdr:row>
      <xdr:rowOff>103909</xdr:rowOff>
    </xdr:from>
    <xdr:to>
      <xdr:col>24</xdr:col>
      <xdr:colOff>533398</xdr:colOff>
      <xdr:row>38</xdr:row>
      <xdr:rowOff>96733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BB08C83A-E766-4493-83A9-EF195B159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24246</xdr:colOff>
      <xdr:row>40</xdr:row>
      <xdr:rowOff>31171</xdr:rowOff>
    </xdr:from>
    <xdr:to>
      <xdr:col>19</xdr:col>
      <xdr:colOff>574964</xdr:colOff>
      <xdr:row>64</xdr:row>
      <xdr:rowOff>13855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A28A4B58-0E70-6C95-F1C1-1C4E95FFA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1A53-9C4D-4BC3-BE15-7069F0E43D41}">
  <sheetPr codeName="Sheet1"/>
  <dimension ref="A5:S46"/>
  <sheetViews>
    <sheetView showGridLines="0" zoomScale="85" zoomScaleNormal="85" workbookViewId="0">
      <selection activeCell="L10" sqref="L10"/>
    </sheetView>
  </sheetViews>
  <sheetFormatPr defaultColWidth="9.15625" defaultRowHeight="14.4" x14ac:dyDescent="0.55000000000000004"/>
  <cols>
    <col min="1" max="1" width="9.15625" style="3"/>
    <col min="2" max="2" width="24.15625" style="3" customWidth="1"/>
    <col min="3" max="3" width="13.83984375" style="3" customWidth="1"/>
    <col min="4" max="4" width="12.26171875" style="3" customWidth="1"/>
    <col min="5" max="5" width="19.15625" style="3" bestFit="1" customWidth="1"/>
    <col min="6" max="6" width="13.26171875" style="3" customWidth="1"/>
    <col min="7" max="8" width="18" style="3" customWidth="1"/>
    <col min="9" max="9" width="18.15625" style="3" customWidth="1"/>
    <col min="10" max="10" width="16" style="3" customWidth="1"/>
    <col min="11" max="11" width="14.41796875" style="3" customWidth="1"/>
    <col min="12" max="12" width="15.68359375" style="3" customWidth="1"/>
    <col min="13" max="16384" width="9.15625" style="3"/>
  </cols>
  <sheetData>
    <row r="5" spans="1:17" x14ac:dyDescent="0.55000000000000004">
      <c r="B5" s="7"/>
      <c r="C5" s="7" t="s">
        <v>0</v>
      </c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  <c r="I5" s="3" t="s">
        <v>6</v>
      </c>
      <c r="J5" s="3" t="s">
        <v>7</v>
      </c>
      <c r="K5" s="3" t="s">
        <v>8</v>
      </c>
      <c r="L5" s="3" t="s">
        <v>9</v>
      </c>
      <c r="P5" s="3" t="s">
        <v>10</v>
      </c>
      <c r="Q5" s="3">
        <v>1</v>
      </c>
    </row>
    <row r="6" spans="1:17" ht="15.6" x14ac:dyDescent="0.6">
      <c r="A6" s="3" t="s">
        <v>11</v>
      </c>
      <c r="B6" s="1" t="str">
        <f>_xll.TR(A6,"CF_NAME","RTFEED:IDN_RDF")</f>
        <v>Retrieving...</v>
      </c>
      <c r="C6" s="3" t="str">
        <f t="shared" ref="C6:C11" si="0">MID(B6,12,3)</f>
        <v>..</v>
      </c>
      <c r="D6" s="6">
        <f>Dashboard!B5</f>
        <v>2024</v>
      </c>
      <c r="E6" s="3" t="e">
        <f t="shared" ref="E6:E11" si="1">AVERAGE(F6:G6)</f>
        <v>#DIV/0!</v>
      </c>
      <c r="F6" s="2" t="str">
        <f>_xll.TR(A6,"CF_BID","RTFEED:IDN_RDF")</f>
        <v>Retrieving...</v>
      </c>
      <c r="G6" s="2" t="str">
        <f>_xll.TR(A6,"CF_ASK","RTFEED:IDN_RDF")</f>
        <v>Retrieving...</v>
      </c>
      <c r="H6" s="5">
        <f t="shared" ref="H6:H11" ca="1" si="2">TODAY()</f>
        <v>46322</v>
      </c>
      <c r="I6" s="5">
        <f t="shared" ref="I6:I11" ca="1" si="3">DATE(D6,_xlfn.XLOOKUP(C6,P:P,Q:Q),15)</f>
        <v>45306</v>
      </c>
      <c r="J6" s="9">
        <f t="shared" ref="J6:J11" ca="1" si="4">(I6-H6)/30</f>
        <v>-33.866666666666667</v>
      </c>
      <c r="K6" s="3">
        <f ca="1">_xlfn.XLOOKUP(J6,$L$21:$L$26,$S$21:$S$26)</f>
        <v>12</v>
      </c>
      <c r="L6" s="16">
        <f ca="1">_xlfn.XLOOKUP(K6,$H$22:$H$26,$I$22:$I$26)</f>
        <v>25465.800000000003</v>
      </c>
      <c r="P6" s="3" t="s">
        <v>12</v>
      </c>
      <c r="Q6" s="3">
        <v>2</v>
      </c>
    </row>
    <row r="7" spans="1:17" ht="15.6" x14ac:dyDescent="0.6">
      <c r="A7" s="3" t="s">
        <v>13</v>
      </c>
      <c r="B7" s="1" t="str">
        <f>_xll.TR(A7,"CF_NAME","RTFEED:IDN_RDF")</f>
        <v>Retrieving...</v>
      </c>
      <c r="C7" s="3" t="str">
        <f t="shared" si="0"/>
        <v>..</v>
      </c>
      <c r="D7" s="6">
        <f>Dashboard!B6</f>
        <v>2024</v>
      </c>
      <c r="E7" s="3" t="e">
        <f t="shared" si="1"/>
        <v>#DIV/0!</v>
      </c>
      <c r="F7" s="2" t="str">
        <f>_xll.TR(A7,"CF_BID","RTFEED:IDN_RDF")</f>
        <v>Retrieving...</v>
      </c>
      <c r="G7" s="2" t="str">
        <f>_xll.TR(A7,"CF_ASK","RTFEED:IDN_RDF")</f>
        <v>Retrieving...</v>
      </c>
      <c r="H7" s="5">
        <f t="shared" ca="1" si="2"/>
        <v>46322</v>
      </c>
      <c r="I7" s="5">
        <f t="shared" ca="1" si="3"/>
        <v>45366</v>
      </c>
      <c r="J7" s="9">
        <f t="shared" ca="1" si="4"/>
        <v>-31.866666666666667</v>
      </c>
      <c r="K7" s="3">
        <f t="shared" ref="K7:K11" ca="1" si="5">_xlfn.XLOOKUP(J7,$L$21:$L$26,$S$21:$S$26)</f>
        <v>12</v>
      </c>
      <c r="L7" s="16">
        <f t="shared" ref="L7:L11" ca="1" si="6">_xlfn.XLOOKUP(K7,$H$22:$H$26,$I$22:$I$26)</f>
        <v>25465.800000000003</v>
      </c>
      <c r="P7" s="3" t="s">
        <v>14</v>
      </c>
      <c r="Q7" s="3">
        <v>3</v>
      </c>
    </row>
    <row r="8" spans="1:17" ht="15.6" x14ac:dyDescent="0.6">
      <c r="A8" s="3" t="s">
        <v>15</v>
      </c>
      <c r="B8" s="1" t="str">
        <f>_xll.TR(A8,"CF_NAME","RTFEED:IDN_RDF")</f>
        <v>Retrieving...</v>
      </c>
      <c r="C8" s="3" t="str">
        <f t="shared" si="0"/>
        <v>..</v>
      </c>
      <c r="D8" s="6">
        <f>Dashboard!B7</f>
        <v>2024</v>
      </c>
      <c r="E8" s="3" t="e">
        <f t="shared" si="1"/>
        <v>#DIV/0!</v>
      </c>
      <c r="F8" s="2" t="str">
        <f>_xll.TR(A8,"CF_BID","RTFEED:IDN_RDF")</f>
        <v>Retrieving...</v>
      </c>
      <c r="G8" s="2" t="str">
        <f>_xll.TR(A8,"CF_ASK","RTFEED:IDN_RDF")</f>
        <v>Retrieving...</v>
      </c>
      <c r="H8" s="5">
        <f t="shared" ca="1" si="2"/>
        <v>46322</v>
      </c>
      <c r="I8" s="5">
        <f t="shared" ca="1" si="3"/>
        <v>45427</v>
      </c>
      <c r="J8" s="9">
        <f t="shared" ca="1" si="4"/>
        <v>-29.833333333333332</v>
      </c>
      <c r="K8" s="3">
        <f t="shared" ca="1" si="5"/>
        <v>12</v>
      </c>
      <c r="L8" s="16">
        <f t="shared" ca="1" si="6"/>
        <v>25465.800000000003</v>
      </c>
      <c r="P8" s="3" t="s">
        <v>16</v>
      </c>
      <c r="Q8" s="3">
        <v>4</v>
      </c>
    </row>
    <row r="9" spans="1:17" ht="15.6" x14ac:dyDescent="0.6">
      <c r="A9" s="3" t="s">
        <v>17</v>
      </c>
      <c r="B9" s="1" t="str">
        <f>_xll.TR(A9,"CF_NAME","RTFEED:IDN_RDF")</f>
        <v>Retrieving...</v>
      </c>
      <c r="C9" s="3" t="str">
        <f t="shared" si="0"/>
        <v>..</v>
      </c>
      <c r="D9" s="6">
        <f>Dashboard!B8</f>
        <v>2024</v>
      </c>
      <c r="E9" s="3" t="e">
        <f t="shared" si="1"/>
        <v>#DIV/0!</v>
      </c>
      <c r="F9" s="2" t="str">
        <f>_xll.TR(A9,"CF_BID","RTFEED:IDN_RDF")</f>
        <v>Retrieving...</v>
      </c>
      <c r="G9" s="2" t="str">
        <f>_xll.TR(A9,"CF_ASK","RTFEED:IDN_RDF")</f>
        <v>Retrieving...</v>
      </c>
      <c r="H9" s="5">
        <f t="shared" ca="1" si="2"/>
        <v>46322</v>
      </c>
      <c r="I9" s="5">
        <f t="shared" ca="1" si="3"/>
        <v>45488</v>
      </c>
      <c r="J9" s="9">
        <f t="shared" ca="1" si="4"/>
        <v>-27.8</v>
      </c>
      <c r="K9" s="3">
        <f t="shared" ca="1" si="5"/>
        <v>12</v>
      </c>
      <c r="L9" s="16">
        <f t="shared" ca="1" si="6"/>
        <v>25465.800000000003</v>
      </c>
      <c r="P9" s="3" t="s">
        <v>18</v>
      </c>
      <c r="Q9" s="3">
        <v>5</v>
      </c>
    </row>
    <row r="10" spans="1:17" ht="15.6" x14ac:dyDescent="0.6">
      <c r="A10" s="3" t="s">
        <v>19</v>
      </c>
      <c r="B10" s="1" t="str">
        <f>_xll.TR(A10,"CF_NAME","RTFEED:IDN_RDF")</f>
        <v>Retrieving...</v>
      </c>
      <c r="C10" s="3" t="str">
        <f t="shared" si="0"/>
        <v>..</v>
      </c>
      <c r="D10" s="6">
        <f>Dashboard!B9</f>
        <v>2024</v>
      </c>
      <c r="E10" s="3" t="e">
        <f t="shared" si="1"/>
        <v>#DIV/0!</v>
      </c>
      <c r="F10" s="2" t="str">
        <f>_xll.TR(A10,"CF_BID","RTFEED:IDN_RDF")</f>
        <v>Retrieving...</v>
      </c>
      <c r="G10" s="2" t="str">
        <f>_xll.TR(A10,"CF_ASK","RTFEED:IDN_RDF")</f>
        <v>Retrieving...</v>
      </c>
      <c r="H10" s="5">
        <f t="shared" ca="1" si="2"/>
        <v>46322</v>
      </c>
      <c r="I10" s="5">
        <f t="shared" ca="1" si="3"/>
        <v>45550</v>
      </c>
      <c r="J10" s="9">
        <f t="shared" ca="1" si="4"/>
        <v>-25.733333333333334</v>
      </c>
      <c r="K10" s="3">
        <f t="shared" ca="1" si="5"/>
        <v>12</v>
      </c>
      <c r="L10" s="16">
        <f t="shared" ca="1" si="6"/>
        <v>25465.800000000003</v>
      </c>
      <c r="P10" s="3" t="s">
        <v>20</v>
      </c>
      <c r="Q10" s="3">
        <v>6</v>
      </c>
    </row>
    <row r="11" spans="1:17" ht="15.6" x14ac:dyDescent="0.6">
      <c r="A11" s="3" t="s">
        <v>21</v>
      </c>
      <c r="B11" s="1" t="str">
        <f>_xll.TR(A11,"CF_NAME","RTFEED:IDN_RDF")</f>
        <v>Retrieving...</v>
      </c>
      <c r="C11" s="3" t="str">
        <f t="shared" si="0"/>
        <v>..</v>
      </c>
      <c r="D11" s="6">
        <f>Dashboard!B10</f>
        <v>2025</v>
      </c>
      <c r="E11" s="3" t="e">
        <f t="shared" si="1"/>
        <v>#DIV/0!</v>
      </c>
      <c r="F11" s="2" t="str">
        <f>_xll.TR(A11,"CF_BID","RTFEED:IDN_RDF")</f>
        <v>Retrieving...</v>
      </c>
      <c r="G11" s="2" t="str">
        <f>_xll.TR(A11,"CF_ASK","RTFEED:IDN_RDF")</f>
        <v>Retrieving...</v>
      </c>
      <c r="H11" s="5">
        <f t="shared" ca="1" si="2"/>
        <v>46322</v>
      </c>
      <c r="I11" s="5">
        <f t="shared" ca="1" si="3"/>
        <v>45976</v>
      </c>
      <c r="J11" s="9">
        <f t="shared" ca="1" si="4"/>
        <v>-11.533333333333333</v>
      </c>
      <c r="K11" s="3">
        <f t="shared" ca="1" si="5"/>
        <v>12</v>
      </c>
      <c r="L11" s="16">
        <f t="shared" ca="1" si="6"/>
        <v>25465.800000000003</v>
      </c>
      <c r="P11" s="3" t="s">
        <v>22</v>
      </c>
      <c r="Q11" s="3">
        <v>7</v>
      </c>
    </row>
    <row r="12" spans="1:17" x14ac:dyDescent="0.55000000000000004">
      <c r="P12" s="3" t="s">
        <v>23</v>
      </c>
      <c r="Q12" s="3">
        <v>8</v>
      </c>
    </row>
    <row r="13" spans="1:17" x14ac:dyDescent="0.55000000000000004">
      <c r="P13" s="3" t="s">
        <v>24</v>
      </c>
      <c r="Q13" s="3">
        <v>9</v>
      </c>
    </row>
    <row r="14" spans="1:17" x14ac:dyDescent="0.55000000000000004">
      <c r="P14" s="3" t="s">
        <v>25</v>
      </c>
      <c r="Q14" s="3">
        <v>10</v>
      </c>
    </row>
    <row r="15" spans="1:17" x14ac:dyDescent="0.55000000000000004">
      <c r="P15" s="3" t="s">
        <v>26</v>
      </c>
      <c r="Q15" s="3">
        <v>11</v>
      </c>
    </row>
    <row r="16" spans="1:17" x14ac:dyDescent="0.55000000000000004">
      <c r="C16" s="4"/>
      <c r="D16" s="4"/>
      <c r="P16" s="3" t="s">
        <v>27</v>
      </c>
      <c r="Q16" s="3">
        <v>12</v>
      </c>
    </row>
    <row r="18" spans="2:19" x14ac:dyDescent="0.55000000000000004">
      <c r="F18" s="4"/>
    </row>
    <row r="20" spans="2:19" x14ac:dyDescent="0.55000000000000004">
      <c r="M20" s="7">
        <f>H22</f>
        <v>1</v>
      </c>
      <c r="N20" s="7">
        <f>H23</f>
        <v>2</v>
      </c>
      <c r="O20" s="7">
        <f>H24</f>
        <v>3</v>
      </c>
      <c r="P20" s="7">
        <f>H25</f>
        <v>6</v>
      </c>
      <c r="Q20" s="7">
        <f>H26</f>
        <v>12</v>
      </c>
    </row>
    <row r="21" spans="2:19" x14ac:dyDescent="0.55000000000000004">
      <c r="H21" s="13" t="s">
        <v>28</v>
      </c>
      <c r="I21" s="13" t="s">
        <v>29</v>
      </c>
      <c r="L21" s="15">
        <f ca="1">J6</f>
        <v>-33.866666666666667</v>
      </c>
      <c r="M21" s="8">
        <f ca="1">ABS(($L21/M$20)-1)</f>
        <v>34.866666666666667</v>
      </c>
      <c r="N21" s="8">
        <f t="shared" ref="N21:Q26" ca="1" si="7">ABS(($L21/N$20)-1)</f>
        <v>17.933333333333334</v>
      </c>
      <c r="O21" s="8">
        <f t="shared" ca="1" si="7"/>
        <v>12.28888888888889</v>
      </c>
      <c r="P21" s="8">
        <f t="shared" ca="1" si="7"/>
        <v>6.6444444444444448</v>
      </c>
      <c r="Q21" s="8">
        <f t="shared" ca="1" si="7"/>
        <v>3.8222222222222224</v>
      </c>
      <c r="R21" s="8">
        <f ca="1">MIN(M21:Q21)</f>
        <v>3.8222222222222224</v>
      </c>
      <c r="S21" s="3">
        <f ca="1">_xlfn.XLOOKUP(R21,M21:Q21,M$20:Q$20)</f>
        <v>12</v>
      </c>
    </row>
    <row r="22" spans="2:19" x14ac:dyDescent="0.55000000000000004">
      <c r="H22" s="13">
        <v>1</v>
      </c>
      <c r="I22" s="14">
        <f>E31</f>
        <v>25867.3</v>
      </c>
      <c r="L22" s="15">
        <f t="shared" ref="L22:L26" ca="1" si="8">J7</f>
        <v>-31.866666666666667</v>
      </c>
      <c r="M22" s="8">
        <f t="shared" ref="M22:M26" ca="1" si="9">ABS(($L22/M$20)-1)</f>
        <v>32.866666666666667</v>
      </c>
      <c r="N22" s="8">
        <f t="shared" ca="1" si="7"/>
        <v>16.933333333333334</v>
      </c>
      <c r="O22" s="8">
        <f t="shared" ca="1" si="7"/>
        <v>11.622222222222222</v>
      </c>
      <c r="P22" s="8">
        <f t="shared" ca="1" si="7"/>
        <v>6.3111111111111109</v>
      </c>
      <c r="Q22" s="8">
        <f t="shared" ca="1" si="7"/>
        <v>3.6555555555555554</v>
      </c>
      <c r="R22" s="8">
        <f t="shared" ref="R22:R26" ca="1" si="10">MIN(M22:Q22)</f>
        <v>3.6555555555555554</v>
      </c>
      <c r="S22" s="3">
        <f t="shared" ref="S22:S26" ca="1" si="11">_xlfn.XLOOKUP(R22,M22:Q22,M$20:Q$20)</f>
        <v>12</v>
      </c>
    </row>
    <row r="23" spans="2:19" x14ac:dyDescent="0.55000000000000004">
      <c r="H23" s="13">
        <v>2</v>
      </c>
      <c r="I23" s="14">
        <f>E34</f>
        <v>25903.4</v>
      </c>
      <c r="L23" s="15">
        <f t="shared" ca="1" si="8"/>
        <v>-29.833333333333332</v>
      </c>
      <c r="M23" s="8">
        <f t="shared" ca="1" si="9"/>
        <v>30.833333333333332</v>
      </c>
      <c r="N23" s="8">
        <f t="shared" ca="1" si="7"/>
        <v>15.916666666666666</v>
      </c>
      <c r="O23" s="8">
        <f t="shared" ca="1" si="7"/>
        <v>10.944444444444445</v>
      </c>
      <c r="P23" s="8">
        <f t="shared" ca="1" si="7"/>
        <v>5.9722222222222223</v>
      </c>
      <c r="Q23" s="8">
        <f t="shared" ca="1" si="7"/>
        <v>3.4861111111111112</v>
      </c>
      <c r="R23" s="8">
        <f t="shared" ca="1" si="10"/>
        <v>3.4861111111111112</v>
      </c>
      <c r="S23" s="3">
        <f t="shared" ca="1" si="11"/>
        <v>12</v>
      </c>
    </row>
    <row r="24" spans="2:19" x14ac:dyDescent="0.55000000000000004">
      <c r="H24" s="13">
        <v>3</v>
      </c>
      <c r="I24" s="14">
        <f>E37</f>
        <v>25971.3</v>
      </c>
      <c r="L24" s="15">
        <f t="shared" ca="1" si="8"/>
        <v>-27.8</v>
      </c>
      <c r="M24" s="8">
        <f t="shared" ca="1" si="9"/>
        <v>28.8</v>
      </c>
      <c r="N24" s="8">
        <f t="shared" ca="1" si="7"/>
        <v>14.9</v>
      </c>
      <c r="O24" s="8">
        <f t="shared" ca="1" si="7"/>
        <v>10.266666666666667</v>
      </c>
      <c r="P24" s="8">
        <f t="shared" ca="1" si="7"/>
        <v>5.6333333333333337</v>
      </c>
      <c r="Q24" s="8">
        <f t="shared" ca="1" si="7"/>
        <v>3.3166666666666669</v>
      </c>
      <c r="R24" s="8">
        <f t="shared" ca="1" si="10"/>
        <v>3.3166666666666669</v>
      </c>
      <c r="S24" s="3">
        <f t="shared" ca="1" si="11"/>
        <v>12</v>
      </c>
    </row>
    <row r="25" spans="2:19" x14ac:dyDescent="0.55000000000000004">
      <c r="B25" s="10"/>
      <c r="C25" s="10" t="str">
        <f>_xll.TR("VND=","CF_LAST","CH=Fd RH=IN",D26)</f>
        <v>Updated at 14:02:52</v>
      </c>
      <c r="D25" s="10"/>
      <c r="E25" s="10"/>
      <c r="H25" s="13">
        <v>6</v>
      </c>
      <c r="I25" s="14">
        <f>E40</f>
        <v>26137.4</v>
      </c>
      <c r="L25" s="15">
        <f t="shared" ca="1" si="8"/>
        <v>-25.733333333333334</v>
      </c>
      <c r="M25" s="8">
        <f t="shared" ca="1" si="9"/>
        <v>26.733333333333334</v>
      </c>
      <c r="N25" s="8">
        <f t="shared" ca="1" si="7"/>
        <v>13.866666666666667</v>
      </c>
      <c r="O25" s="8">
        <f t="shared" ca="1" si="7"/>
        <v>9.5777777777777775</v>
      </c>
      <c r="P25" s="8">
        <f t="shared" ca="1" si="7"/>
        <v>5.2888888888888888</v>
      </c>
      <c r="Q25" s="8">
        <f t="shared" ca="1" si="7"/>
        <v>3.1444444444444444</v>
      </c>
      <c r="R25" s="8">
        <f t="shared" ca="1" si="10"/>
        <v>3.1444444444444444</v>
      </c>
      <c r="S25" s="3">
        <f t="shared" ca="1" si="11"/>
        <v>12</v>
      </c>
    </row>
    <row r="26" spans="2:19" x14ac:dyDescent="0.55000000000000004">
      <c r="B26" s="10"/>
      <c r="C26" s="10"/>
      <c r="D26" s="10"/>
      <c r="E26" s="11" t="s">
        <v>30</v>
      </c>
      <c r="H26" s="13">
        <v>12</v>
      </c>
      <c r="I26" s="14">
        <f>E46</f>
        <v>26461.200000000001</v>
      </c>
      <c r="L26" s="15">
        <f t="shared" ca="1" si="8"/>
        <v>-11.533333333333333</v>
      </c>
      <c r="M26" s="8">
        <f t="shared" ca="1" si="9"/>
        <v>12.533333333333333</v>
      </c>
      <c r="N26" s="8">
        <f t="shared" ca="1" si="7"/>
        <v>6.7666666666666666</v>
      </c>
      <c r="O26" s="8">
        <f t="shared" ca="1" si="7"/>
        <v>4.844444444444445</v>
      </c>
      <c r="P26" s="8">
        <f t="shared" ca="1" si="7"/>
        <v>2.9222222222222225</v>
      </c>
      <c r="Q26" s="8">
        <f t="shared" ca="1" si="7"/>
        <v>1.9611111111111112</v>
      </c>
      <c r="R26" s="8">
        <f t="shared" ca="1" si="10"/>
        <v>1.9611111111111112</v>
      </c>
      <c r="S26" s="3">
        <f t="shared" ca="1" si="11"/>
        <v>12</v>
      </c>
    </row>
    <row r="27" spans="2:19" x14ac:dyDescent="0.55000000000000004">
      <c r="B27" s="10"/>
      <c r="C27" s="10"/>
      <c r="D27" s="11" t="s">
        <v>31</v>
      </c>
      <c r="E27" s="10">
        <v>25832</v>
      </c>
      <c r="L27" s="9"/>
    </row>
    <row r="28" spans="2:19" x14ac:dyDescent="0.55000000000000004">
      <c r="B28" s="10"/>
      <c r="C28" s="10"/>
      <c r="D28" s="10"/>
      <c r="E28" s="10"/>
    </row>
    <row r="29" spans="2:19" x14ac:dyDescent="0.55000000000000004">
      <c r="B29" s="10"/>
      <c r="C29" s="10" t="str">
        <f>_xll.TR("VND1MV=","CF_LAST","CH=Fd RH=IN",D30)</f>
        <v>Updated at 14:02:52</v>
      </c>
      <c r="D29" s="10"/>
      <c r="E29" s="10"/>
    </row>
    <row r="30" spans="2:19" x14ac:dyDescent="0.55000000000000004">
      <c r="B30" s="10"/>
      <c r="C30" s="10"/>
      <c r="D30" s="10"/>
      <c r="E30" s="11" t="s">
        <v>30</v>
      </c>
    </row>
    <row r="31" spans="2:19" x14ac:dyDescent="0.55000000000000004">
      <c r="B31" s="10"/>
      <c r="C31" s="10"/>
      <c r="D31" s="11" t="s">
        <v>32</v>
      </c>
      <c r="E31" s="12">
        <v>25867.3</v>
      </c>
    </row>
    <row r="32" spans="2:19" x14ac:dyDescent="0.55000000000000004">
      <c r="B32" s="10"/>
      <c r="C32" s="10" t="str">
        <f>_xll.TR("VND2MV=","CF_LAST","CH=Fd RH=IN",D33)</f>
        <v>Updated at 14:02:52</v>
      </c>
      <c r="D32" s="10"/>
      <c r="E32" s="12"/>
    </row>
    <row r="33" spans="2:5" x14ac:dyDescent="0.55000000000000004">
      <c r="B33" s="10"/>
      <c r="C33" s="10"/>
      <c r="D33" s="10"/>
      <c r="E33" s="45" t="s">
        <v>30</v>
      </c>
    </row>
    <row r="34" spans="2:5" x14ac:dyDescent="0.55000000000000004">
      <c r="B34" s="10"/>
      <c r="C34" s="10"/>
      <c r="D34" s="11" t="s">
        <v>33</v>
      </c>
      <c r="E34" s="12">
        <v>25903.4</v>
      </c>
    </row>
    <row r="35" spans="2:5" x14ac:dyDescent="0.55000000000000004">
      <c r="B35" s="10"/>
      <c r="C35" s="10" t="str">
        <f>_xll.TR("VND3MV=","CF_LAST","CH=Fd RH=IN",D36)</f>
        <v>Updated at 14:02:52</v>
      </c>
      <c r="D35" s="10"/>
      <c r="E35" s="12"/>
    </row>
    <row r="36" spans="2:5" x14ac:dyDescent="0.55000000000000004">
      <c r="B36" s="10"/>
      <c r="C36" s="10"/>
      <c r="D36" s="10"/>
      <c r="E36" s="45" t="s">
        <v>30</v>
      </c>
    </row>
    <row r="37" spans="2:5" x14ac:dyDescent="0.55000000000000004">
      <c r="B37" s="10"/>
      <c r="C37" s="10"/>
      <c r="D37" s="11" t="s">
        <v>34</v>
      </c>
      <c r="E37" s="12">
        <v>25971.3</v>
      </c>
    </row>
    <row r="38" spans="2:5" x14ac:dyDescent="0.55000000000000004">
      <c r="B38" s="10"/>
      <c r="C38" s="10" t="str">
        <f>_xll.TR("VND6MV=","CF_LAST","CH=Fd RH=IN",D39)</f>
        <v>Updated at 14:02:52</v>
      </c>
      <c r="D38" s="10"/>
      <c r="E38" s="12"/>
    </row>
    <row r="39" spans="2:5" x14ac:dyDescent="0.55000000000000004">
      <c r="B39" s="10"/>
      <c r="C39" s="10"/>
      <c r="D39" s="10"/>
      <c r="E39" s="45" t="s">
        <v>30</v>
      </c>
    </row>
    <row r="40" spans="2:5" x14ac:dyDescent="0.55000000000000004">
      <c r="B40" s="10"/>
      <c r="C40" s="10"/>
      <c r="D40" s="11" t="s">
        <v>35</v>
      </c>
      <c r="E40" s="12">
        <v>26137.4</v>
      </c>
    </row>
    <row r="41" spans="2:5" x14ac:dyDescent="0.55000000000000004">
      <c r="B41" s="10"/>
      <c r="C41" s="10" t="str">
        <f>_xll.TR("VND6MV=","CF_LAST","CH=Fd RH=IN",D42)</f>
        <v>Updated at 14:02:52</v>
      </c>
      <c r="D41" s="10"/>
      <c r="E41" s="12"/>
    </row>
    <row r="42" spans="2:5" x14ac:dyDescent="0.55000000000000004">
      <c r="B42" s="10"/>
      <c r="C42" s="10"/>
      <c r="D42" s="10"/>
      <c r="E42" s="45" t="s">
        <v>30</v>
      </c>
    </row>
    <row r="43" spans="2:5" x14ac:dyDescent="0.55000000000000004">
      <c r="B43" s="10"/>
      <c r="C43" s="10"/>
      <c r="D43" s="11" t="s">
        <v>35</v>
      </c>
      <c r="E43" s="12">
        <v>26137.4</v>
      </c>
    </row>
    <row r="44" spans="2:5" x14ac:dyDescent="0.55000000000000004">
      <c r="B44" s="10"/>
      <c r="C44" s="10" t="str">
        <f>_xll.TR("VND1YV=","CF_LAST","CH=Fd RH=IN",D45)</f>
        <v>Updated at 14:02:52</v>
      </c>
      <c r="D44" s="10"/>
      <c r="E44" s="12"/>
    </row>
    <row r="45" spans="2:5" x14ac:dyDescent="0.55000000000000004">
      <c r="B45" s="10"/>
      <c r="C45" s="10"/>
      <c r="D45" s="10"/>
      <c r="E45" s="45" t="s">
        <v>30</v>
      </c>
    </row>
    <row r="46" spans="2:5" x14ac:dyDescent="0.55000000000000004">
      <c r="B46" s="10"/>
      <c r="C46" s="10"/>
      <c r="D46" s="11" t="s">
        <v>36</v>
      </c>
      <c r="E46" s="12">
        <v>26461.200000000001</v>
      </c>
    </row>
  </sheetData>
  <phoneticPr fontId="6" type="noConversion"/>
  <conditionalFormatting sqref="M21:Q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:Q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:Q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:Q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:Q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6:Q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C2E8-B136-4753-AB3E-169FB08C5937}">
  <sheetPr codeName="Sheet2"/>
  <dimension ref="A2:I17"/>
  <sheetViews>
    <sheetView showGridLines="0" zoomScale="115" zoomScaleNormal="115" workbookViewId="0">
      <selection activeCell="G16" sqref="G16"/>
    </sheetView>
  </sheetViews>
  <sheetFormatPr defaultColWidth="9.15625" defaultRowHeight="14.4" x14ac:dyDescent="0.55000000000000004"/>
  <cols>
    <col min="1" max="2" width="9.15625" style="17"/>
    <col min="3" max="3" width="9.578125" style="17" bestFit="1" customWidth="1"/>
    <col min="4" max="4" width="9.26171875" style="17" bestFit="1" customWidth="1"/>
    <col min="5" max="5" width="9.578125" style="17" bestFit="1" customWidth="1"/>
    <col min="6" max="6" width="10.578125" style="17" bestFit="1" customWidth="1"/>
    <col min="7" max="7" width="20.26171875" style="17" customWidth="1"/>
    <col min="8" max="8" width="19.41796875" style="17" customWidth="1"/>
    <col min="9" max="9" width="17.26171875" style="17" customWidth="1"/>
    <col min="10" max="16384" width="9.15625" style="17"/>
  </cols>
  <sheetData>
    <row r="2" spans="1:9" ht="24.75" customHeight="1" x14ac:dyDescent="0.55000000000000004">
      <c r="A2" s="44" t="s">
        <v>37</v>
      </c>
      <c r="B2" s="44"/>
      <c r="C2" s="44"/>
      <c r="D2" s="44"/>
      <c r="E2" s="44"/>
      <c r="F2" s="44"/>
      <c r="G2" s="44"/>
      <c r="H2" s="44"/>
      <c r="I2" s="44"/>
    </row>
    <row r="4" spans="1:9" x14ac:dyDescent="0.55000000000000004">
      <c r="A4" s="18" t="str">
        <f>Sheet1!C5</f>
        <v>Month</v>
      </c>
      <c r="B4" s="18" t="str">
        <f>Sheet1!D5</f>
        <v>Year</v>
      </c>
      <c r="C4" s="18" t="str">
        <f>Sheet1!E5</f>
        <v>Mid</v>
      </c>
      <c r="D4" s="18" t="s">
        <v>38</v>
      </c>
      <c r="E4" s="18" t="s">
        <v>39</v>
      </c>
      <c r="F4" s="18" t="s">
        <v>29</v>
      </c>
      <c r="G4" s="24" t="s">
        <v>40</v>
      </c>
      <c r="H4" s="24" t="s">
        <v>41</v>
      </c>
      <c r="I4" s="25" t="s">
        <v>42</v>
      </c>
    </row>
    <row r="5" spans="1:9" x14ac:dyDescent="0.55000000000000004">
      <c r="A5" s="17" t="str">
        <f>Sheet1!C6</f>
        <v>..</v>
      </c>
      <c r="B5" s="19">
        <v>2024</v>
      </c>
      <c r="C5" s="22" t="e">
        <f>Sheet1!E6</f>
        <v>#DIV/0!</v>
      </c>
      <c r="D5" s="22">
        <f>$D$13</f>
        <v>60</v>
      </c>
      <c r="E5" s="22" t="e">
        <f>D5+C5</f>
        <v>#DIV/0!</v>
      </c>
      <c r="F5" s="22">
        <f ca="1">Sheet1!L6</f>
        <v>25465.800000000003</v>
      </c>
      <c r="G5" s="21">
        <f ca="1">E5*F5/1000</f>
        <v>1527.9480000000003</v>
      </c>
      <c r="H5"/>
      <c r="I5" s="26">
        <f ca="1">($D$17-H5)/F5*1000</f>
        <v>2552.4428841819222</v>
      </c>
    </row>
    <row r="6" spans="1:9" x14ac:dyDescent="0.55000000000000004">
      <c r="A6" s="17" t="str">
        <f>Sheet1!C7</f>
        <v>..</v>
      </c>
      <c r="B6" s="19">
        <v>2024</v>
      </c>
      <c r="C6" s="22" t="e">
        <f>Sheet1!E7</f>
        <v>#DIV/0!</v>
      </c>
      <c r="D6" s="22">
        <f t="shared" ref="D6:D10" si="0">$D$13</f>
        <v>60</v>
      </c>
      <c r="E6" s="22" t="e">
        <f t="shared" ref="E6:E10" si="1">D6+C6</f>
        <v>#DIV/0!</v>
      </c>
      <c r="F6" s="22">
        <f ca="1">Sheet1!L7</f>
        <v>25465.800000000003</v>
      </c>
      <c r="G6" s="21">
        <f t="shared" ref="G6:G10" ca="1" si="2">E6*F6/1000</f>
        <v>1527.9480000000003</v>
      </c>
      <c r="H6" s="22">
        <f t="shared" ref="H6:H9" ca="1" si="3">(E6-$D$15)*F6/1000</f>
        <v>-1018.6320000000001</v>
      </c>
      <c r="I6" s="26">
        <f t="shared" ref="I6:I10" ca="1" si="4">($D$17-H6)/F6*1000</f>
        <v>2592.4428841819222</v>
      </c>
    </row>
    <row r="7" spans="1:9" x14ac:dyDescent="0.55000000000000004">
      <c r="A7" s="17" t="str">
        <f>Sheet1!C8</f>
        <v>..</v>
      </c>
      <c r="B7" s="19">
        <v>2024</v>
      </c>
      <c r="C7" s="22" t="e">
        <f>Sheet1!E8</f>
        <v>#DIV/0!</v>
      </c>
      <c r="D7" s="22">
        <f t="shared" si="0"/>
        <v>60</v>
      </c>
      <c r="E7" s="22" t="e">
        <f t="shared" si="1"/>
        <v>#DIV/0!</v>
      </c>
      <c r="F7" s="22">
        <f ca="1">Sheet1!L8</f>
        <v>25465.800000000003</v>
      </c>
      <c r="G7" s="21">
        <f t="shared" ca="1" si="2"/>
        <v>1527.9480000000003</v>
      </c>
      <c r="H7" s="22">
        <f t="shared" ca="1" si="3"/>
        <v>-1018.6320000000001</v>
      </c>
      <c r="I7" s="26">
        <f t="shared" ca="1" si="4"/>
        <v>2592.4428841819222</v>
      </c>
    </row>
    <row r="8" spans="1:9" x14ac:dyDescent="0.55000000000000004">
      <c r="A8" s="17" t="str">
        <f>Sheet1!C9</f>
        <v>..</v>
      </c>
      <c r="B8" s="19">
        <v>2024</v>
      </c>
      <c r="C8" s="22" t="e">
        <f>Sheet1!E9</f>
        <v>#DIV/0!</v>
      </c>
      <c r="D8" s="22">
        <f t="shared" si="0"/>
        <v>60</v>
      </c>
      <c r="E8" s="22" t="e">
        <f t="shared" si="1"/>
        <v>#DIV/0!</v>
      </c>
      <c r="F8" s="22">
        <f ca="1">Sheet1!L9</f>
        <v>25465.800000000003</v>
      </c>
      <c r="G8" s="21">
        <f t="shared" ca="1" si="2"/>
        <v>1527.9480000000003</v>
      </c>
      <c r="H8" s="31">
        <f t="shared" ca="1" si="3"/>
        <v>-1018.6320000000001</v>
      </c>
      <c r="I8" s="26">
        <f t="shared" ca="1" si="4"/>
        <v>2592.4428841819222</v>
      </c>
    </row>
    <row r="9" spans="1:9" x14ac:dyDescent="0.55000000000000004">
      <c r="A9" s="17" t="str">
        <f>Sheet1!C10</f>
        <v>..</v>
      </c>
      <c r="B9" s="19">
        <v>2024</v>
      </c>
      <c r="C9" s="22" t="e">
        <f>Sheet1!E10</f>
        <v>#DIV/0!</v>
      </c>
      <c r="D9" s="22">
        <f t="shared" si="0"/>
        <v>60</v>
      </c>
      <c r="E9" s="22" t="e">
        <f t="shared" si="1"/>
        <v>#DIV/0!</v>
      </c>
      <c r="F9" s="22">
        <f ca="1">Sheet1!L10</f>
        <v>25465.800000000003</v>
      </c>
      <c r="G9" s="21">
        <f t="shared" ca="1" si="2"/>
        <v>1527.9480000000003</v>
      </c>
      <c r="H9" s="22">
        <f t="shared" ca="1" si="3"/>
        <v>-1018.6320000000001</v>
      </c>
      <c r="I9" s="26">
        <f t="shared" ca="1" si="4"/>
        <v>2592.4428841819222</v>
      </c>
    </row>
    <row r="10" spans="1:9" x14ac:dyDescent="0.55000000000000004">
      <c r="A10" s="17" t="str">
        <f>Sheet1!C11</f>
        <v>..</v>
      </c>
      <c r="B10" s="19">
        <v>2025</v>
      </c>
      <c r="C10" s="22" t="e">
        <f>Sheet1!E11</f>
        <v>#DIV/0!</v>
      </c>
      <c r="D10" s="22">
        <f t="shared" si="0"/>
        <v>60</v>
      </c>
      <c r="E10" s="22" t="e">
        <f t="shared" si="1"/>
        <v>#DIV/0!</v>
      </c>
      <c r="F10" s="22">
        <f ca="1">Sheet1!L11</f>
        <v>25465.800000000003</v>
      </c>
      <c r="G10" s="21">
        <f t="shared" ca="1" si="2"/>
        <v>1527.9480000000003</v>
      </c>
      <c r="H10" s="22">
        <f ca="1">(E10-$D$15)*F10/1000</f>
        <v>-1018.6320000000001</v>
      </c>
      <c r="I10" s="26">
        <f t="shared" ca="1" si="4"/>
        <v>2592.4428841819222</v>
      </c>
    </row>
    <row r="11" spans="1:9" x14ac:dyDescent="0.55000000000000004">
      <c r="F11" s="20"/>
    </row>
    <row r="12" spans="1:9" x14ac:dyDescent="0.55000000000000004">
      <c r="F12" s="20"/>
    </row>
    <row r="13" spans="1:9" x14ac:dyDescent="0.55000000000000004">
      <c r="C13" s="23" t="s">
        <v>38</v>
      </c>
      <c r="D13" s="19">
        <v>60</v>
      </c>
      <c r="E13" s="27" t="s">
        <v>43</v>
      </c>
    </row>
    <row r="14" spans="1:9" x14ac:dyDescent="0.55000000000000004">
      <c r="E14" s="28"/>
    </row>
    <row r="15" spans="1:9" x14ac:dyDescent="0.55000000000000004">
      <c r="B15" s="43" t="s">
        <v>44</v>
      </c>
      <c r="C15" s="43"/>
      <c r="D15" s="19">
        <v>100</v>
      </c>
      <c r="E15" s="27" t="s">
        <v>43</v>
      </c>
    </row>
    <row r="16" spans="1:9" x14ac:dyDescent="0.55000000000000004">
      <c r="E16" s="28"/>
    </row>
    <row r="17" spans="2:5" x14ac:dyDescent="0.55000000000000004">
      <c r="B17" s="43" t="s">
        <v>45</v>
      </c>
      <c r="C17" s="43"/>
      <c r="D17" s="19">
        <v>65000</v>
      </c>
      <c r="E17" s="27" t="s">
        <v>46</v>
      </c>
    </row>
  </sheetData>
  <mergeCells count="3">
    <mergeCell ref="B15:C15"/>
    <mergeCell ref="B17:C17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AE8-ABE2-4DBE-A617-D0A44839805D}">
  <sheetPr codeName="Sheet3"/>
  <dimension ref="A2:M2505"/>
  <sheetViews>
    <sheetView topLeftCell="A2020" workbookViewId="0">
      <selection activeCell="A4" sqref="A4"/>
    </sheetView>
  </sheetViews>
  <sheetFormatPr defaultRowHeight="14.4" x14ac:dyDescent="0.55000000000000004"/>
  <cols>
    <col min="2" max="2" width="14.15625" customWidth="1"/>
    <col min="7" max="7" width="10.578125" bestFit="1" customWidth="1"/>
    <col min="12" max="12" width="10.578125" bestFit="1" customWidth="1"/>
  </cols>
  <sheetData>
    <row r="2" spans="1:13" x14ac:dyDescent="0.55000000000000004">
      <c r="C2" t="s">
        <v>11</v>
      </c>
      <c r="H2" t="s">
        <v>47</v>
      </c>
      <c r="M2" t="s">
        <v>31</v>
      </c>
    </row>
    <row r="4" spans="1:13" x14ac:dyDescent="0.55000000000000004">
      <c r="A4" t="str">
        <f>_xll.RDP.HistoricalPricing($C$2,"CLOSE","NBROWS:1000 INTERVAL:P1D SOURCE:RFV",,"RH:Timestamp",B5)</f>
        <v>Updated at 14:02:26</v>
      </c>
      <c r="F4" t="str">
        <f>_xll.RDP.HistoricalPricing($H$2,".Timestamp;.Close","NBROWS:2500 INTERVAL:1D",,"TSREPEAT:NO CH:Fd",G5)</f>
        <v>Updated at 14:02:26</v>
      </c>
      <c r="K4" t="str">
        <f>_xll.RDP.HistoricalPricing($M$2,".Timestamp;.Close","NBROWS:2500 INTERVAL:1D",,"TSREPEAT:NO CH:Fd",L5)</f>
        <v>Updated at 14:02:26</v>
      </c>
    </row>
    <row r="5" spans="1:13" x14ac:dyDescent="0.55000000000000004">
      <c r="B5" s="30">
        <v>46322</v>
      </c>
      <c r="C5">
        <v>3238</v>
      </c>
      <c r="G5" s="40" t="s">
        <v>48</v>
      </c>
      <c r="H5" s="40" t="s">
        <v>49</v>
      </c>
      <c r="L5" s="40" t="s">
        <v>48</v>
      </c>
      <c r="M5" s="40" t="s">
        <v>50</v>
      </c>
    </row>
    <row r="6" spans="1:13" x14ac:dyDescent="0.55000000000000004">
      <c r="B6" s="30">
        <v>46321</v>
      </c>
      <c r="C6">
        <v>3201</v>
      </c>
      <c r="G6" s="30">
        <v>46317</v>
      </c>
      <c r="H6">
        <v>170</v>
      </c>
      <c r="L6" s="30">
        <v>46322</v>
      </c>
      <c r="M6">
        <v>25832</v>
      </c>
    </row>
    <row r="7" spans="1:13" x14ac:dyDescent="0.55000000000000004">
      <c r="B7" s="30">
        <v>46318</v>
      </c>
      <c r="C7">
        <v>3242</v>
      </c>
      <c r="G7" s="30">
        <v>46310</v>
      </c>
      <c r="H7">
        <v>200</v>
      </c>
      <c r="L7" s="30">
        <v>46321</v>
      </c>
      <c r="M7">
        <v>25841</v>
      </c>
    </row>
    <row r="8" spans="1:13" x14ac:dyDescent="0.55000000000000004">
      <c r="B8" s="30">
        <v>46317</v>
      </c>
      <c r="C8">
        <v>3301</v>
      </c>
      <c r="G8" s="30">
        <v>46303</v>
      </c>
      <c r="H8">
        <v>220</v>
      </c>
      <c r="L8" s="30">
        <v>46318</v>
      </c>
      <c r="M8">
        <v>25840</v>
      </c>
    </row>
    <row r="9" spans="1:13" x14ac:dyDescent="0.55000000000000004">
      <c r="B9" s="30">
        <v>46316</v>
      </c>
      <c r="C9">
        <v>3364</v>
      </c>
      <c r="G9" s="30">
        <v>46296</v>
      </c>
      <c r="H9">
        <v>240</v>
      </c>
      <c r="L9" s="30">
        <v>46317</v>
      </c>
      <c r="M9">
        <v>25848</v>
      </c>
    </row>
    <row r="10" spans="1:13" x14ac:dyDescent="0.55000000000000004">
      <c r="B10" s="30">
        <v>46315</v>
      </c>
      <c r="C10">
        <v>3424</v>
      </c>
      <c r="G10" s="30">
        <v>46289</v>
      </c>
      <c r="H10">
        <v>240</v>
      </c>
      <c r="L10" s="30">
        <v>46316</v>
      </c>
      <c r="M10">
        <v>25856</v>
      </c>
    </row>
    <row r="11" spans="1:13" x14ac:dyDescent="0.55000000000000004">
      <c r="B11" s="30">
        <v>46314</v>
      </c>
      <c r="C11">
        <v>3480</v>
      </c>
      <c r="G11" s="30">
        <v>46282</v>
      </c>
      <c r="H11">
        <v>220</v>
      </c>
      <c r="L11" s="30">
        <v>46315</v>
      </c>
      <c r="M11">
        <v>25872</v>
      </c>
    </row>
    <row r="12" spans="1:13" x14ac:dyDescent="0.55000000000000004">
      <c r="B12" s="30">
        <v>46311</v>
      </c>
      <c r="C12">
        <v>3405</v>
      </c>
      <c r="G12" s="30">
        <v>46275</v>
      </c>
      <c r="H12">
        <v>200</v>
      </c>
      <c r="L12" s="30">
        <v>46314</v>
      </c>
      <c r="M12">
        <v>25892</v>
      </c>
    </row>
    <row r="13" spans="1:13" x14ac:dyDescent="0.55000000000000004">
      <c r="B13" s="30">
        <v>46310</v>
      </c>
      <c r="C13">
        <v>3364</v>
      </c>
      <c r="G13" s="30">
        <v>46268</v>
      </c>
      <c r="H13">
        <v>200</v>
      </c>
      <c r="L13" s="30">
        <v>46311</v>
      </c>
      <c r="M13">
        <v>25889</v>
      </c>
    </row>
    <row r="14" spans="1:13" x14ac:dyDescent="0.55000000000000004">
      <c r="B14" s="30">
        <v>46309</v>
      </c>
      <c r="C14">
        <v>3470</v>
      </c>
      <c r="G14" s="30">
        <v>46261</v>
      </c>
      <c r="H14">
        <v>220</v>
      </c>
      <c r="L14" s="30">
        <v>46310</v>
      </c>
      <c r="M14">
        <v>25872</v>
      </c>
    </row>
    <row r="15" spans="1:13" x14ac:dyDescent="0.55000000000000004">
      <c r="B15" s="30">
        <v>46308</v>
      </c>
      <c r="C15">
        <v>3443</v>
      </c>
      <c r="G15" s="30">
        <v>46254</v>
      </c>
      <c r="H15">
        <v>200</v>
      </c>
      <c r="L15" s="30">
        <v>46309</v>
      </c>
      <c r="M15">
        <v>25894</v>
      </c>
    </row>
    <row r="16" spans="1:13" x14ac:dyDescent="0.55000000000000004">
      <c r="B16" s="30">
        <v>46307</v>
      </c>
      <c r="C16">
        <v>3463</v>
      </c>
      <c r="G16" s="30">
        <v>46247</v>
      </c>
      <c r="H16">
        <v>200</v>
      </c>
      <c r="L16" s="30">
        <v>46308</v>
      </c>
      <c r="M16">
        <v>25913</v>
      </c>
    </row>
    <row r="17" spans="2:13" x14ac:dyDescent="0.55000000000000004">
      <c r="B17" s="30">
        <v>46304</v>
      </c>
      <c r="C17">
        <v>3454</v>
      </c>
      <c r="G17" s="30">
        <v>46240</v>
      </c>
      <c r="H17">
        <v>180</v>
      </c>
      <c r="L17" s="30">
        <v>46307</v>
      </c>
      <c r="M17">
        <v>25934</v>
      </c>
    </row>
    <row r="18" spans="2:13" x14ac:dyDescent="0.55000000000000004">
      <c r="B18" s="30">
        <v>46303</v>
      </c>
      <c r="C18">
        <v>3398</v>
      </c>
      <c r="G18" s="30">
        <v>46233</v>
      </c>
      <c r="H18">
        <v>180</v>
      </c>
      <c r="L18" s="30">
        <v>46304</v>
      </c>
      <c r="M18">
        <v>25879</v>
      </c>
    </row>
    <row r="19" spans="2:13" x14ac:dyDescent="0.55000000000000004">
      <c r="B19" s="30">
        <v>46302</v>
      </c>
      <c r="C19">
        <v>3469</v>
      </c>
      <c r="G19" s="30">
        <v>46226</v>
      </c>
      <c r="H19">
        <v>180</v>
      </c>
      <c r="L19" s="30">
        <v>46303</v>
      </c>
      <c r="M19">
        <v>25889</v>
      </c>
    </row>
    <row r="20" spans="2:13" x14ac:dyDescent="0.55000000000000004">
      <c r="B20" s="30">
        <v>46301</v>
      </c>
      <c r="C20">
        <v>3577</v>
      </c>
      <c r="G20" s="30">
        <v>46219</v>
      </c>
      <c r="H20">
        <v>200</v>
      </c>
      <c r="L20" s="30">
        <v>46302</v>
      </c>
      <c r="M20">
        <v>25975</v>
      </c>
    </row>
    <row r="21" spans="2:13" x14ac:dyDescent="0.55000000000000004">
      <c r="B21" s="30">
        <v>46300</v>
      </c>
      <c r="C21">
        <v>3512</v>
      </c>
      <c r="G21" s="30">
        <v>46212</v>
      </c>
      <c r="H21">
        <v>190</v>
      </c>
      <c r="L21" s="30">
        <v>46301</v>
      </c>
      <c r="M21">
        <v>25989</v>
      </c>
    </row>
    <row r="22" spans="2:13" x14ac:dyDescent="0.55000000000000004">
      <c r="B22" s="30">
        <v>46297</v>
      </c>
      <c r="C22">
        <v>3448</v>
      </c>
      <c r="G22" s="30">
        <v>46205</v>
      </c>
      <c r="H22">
        <v>200</v>
      </c>
      <c r="L22" s="30">
        <v>46300</v>
      </c>
      <c r="M22">
        <v>25991</v>
      </c>
    </row>
    <row r="23" spans="2:13" x14ac:dyDescent="0.55000000000000004">
      <c r="B23" s="30">
        <v>46296</v>
      </c>
      <c r="C23">
        <v>3403</v>
      </c>
      <c r="G23" s="30">
        <v>46198</v>
      </c>
      <c r="H23">
        <v>240</v>
      </c>
      <c r="L23" s="30">
        <v>46297</v>
      </c>
      <c r="M23">
        <v>25984</v>
      </c>
    </row>
    <row r="24" spans="2:13" x14ac:dyDescent="0.55000000000000004">
      <c r="B24" s="30">
        <v>46295</v>
      </c>
      <c r="C24">
        <v>3422</v>
      </c>
      <c r="G24" s="30">
        <v>46191</v>
      </c>
      <c r="H24">
        <v>240</v>
      </c>
      <c r="L24" s="30">
        <v>46296</v>
      </c>
      <c r="M24">
        <v>25979</v>
      </c>
    </row>
    <row r="25" spans="2:13" x14ac:dyDescent="0.55000000000000004">
      <c r="B25" s="30">
        <v>46294</v>
      </c>
      <c r="C25">
        <v>3375</v>
      </c>
      <c r="G25" s="30">
        <v>46184</v>
      </c>
      <c r="H25">
        <v>260</v>
      </c>
      <c r="L25" s="30">
        <v>46295</v>
      </c>
      <c r="M25">
        <v>25959</v>
      </c>
    </row>
    <row r="26" spans="2:13" x14ac:dyDescent="0.55000000000000004">
      <c r="B26" s="30">
        <v>46293</v>
      </c>
      <c r="C26">
        <v>3387</v>
      </c>
      <c r="G26" s="30">
        <v>46177</v>
      </c>
      <c r="H26">
        <v>280</v>
      </c>
      <c r="L26" s="30">
        <v>46294</v>
      </c>
      <c r="M26">
        <v>25970</v>
      </c>
    </row>
    <row r="27" spans="2:13" x14ac:dyDescent="0.55000000000000004">
      <c r="B27" s="30">
        <v>46290</v>
      </c>
      <c r="C27">
        <v>3342</v>
      </c>
      <c r="G27" s="30">
        <v>46170</v>
      </c>
      <c r="H27">
        <v>280</v>
      </c>
      <c r="L27" s="30">
        <v>46293</v>
      </c>
      <c r="M27">
        <v>25969</v>
      </c>
    </row>
    <row r="28" spans="2:13" x14ac:dyDescent="0.55000000000000004">
      <c r="B28" s="30">
        <v>46289</v>
      </c>
      <c r="C28">
        <v>3290</v>
      </c>
      <c r="G28" s="30">
        <v>46163</v>
      </c>
      <c r="H28">
        <v>280</v>
      </c>
      <c r="L28" s="30">
        <v>46290</v>
      </c>
      <c r="M28">
        <v>25974</v>
      </c>
    </row>
    <row r="29" spans="2:13" x14ac:dyDescent="0.55000000000000004">
      <c r="B29" s="30">
        <v>46288</v>
      </c>
      <c r="C29">
        <v>3317</v>
      </c>
      <c r="G29" s="30">
        <v>46155</v>
      </c>
      <c r="H29">
        <v>250</v>
      </c>
      <c r="L29" s="30">
        <v>46289</v>
      </c>
      <c r="M29">
        <v>25990</v>
      </c>
    </row>
    <row r="30" spans="2:13" x14ac:dyDescent="0.55000000000000004">
      <c r="B30" s="30">
        <v>46287</v>
      </c>
      <c r="C30">
        <v>3260</v>
      </c>
      <c r="G30" s="30">
        <v>46148</v>
      </c>
      <c r="H30">
        <v>280</v>
      </c>
      <c r="L30" s="30">
        <v>46288</v>
      </c>
      <c r="M30">
        <v>26007</v>
      </c>
    </row>
    <row r="31" spans="2:13" x14ac:dyDescent="0.55000000000000004">
      <c r="B31" s="30">
        <v>46286</v>
      </c>
      <c r="C31">
        <v>3337</v>
      </c>
      <c r="G31" s="30">
        <v>46142</v>
      </c>
      <c r="H31">
        <v>280</v>
      </c>
      <c r="L31" s="30">
        <v>46287</v>
      </c>
      <c r="M31">
        <v>26013</v>
      </c>
    </row>
    <row r="32" spans="2:13" x14ac:dyDescent="0.55000000000000004">
      <c r="B32" s="30">
        <v>46283</v>
      </c>
      <c r="C32">
        <v>3396</v>
      </c>
      <c r="G32" s="30">
        <v>46135</v>
      </c>
      <c r="H32">
        <v>250</v>
      </c>
      <c r="L32" s="30">
        <v>46286</v>
      </c>
      <c r="M32">
        <v>26020</v>
      </c>
    </row>
    <row r="33" spans="2:13" x14ac:dyDescent="0.55000000000000004">
      <c r="B33" s="30">
        <v>46282</v>
      </c>
      <c r="C33">
        <v>3391</v>
      </c>
      <c r="G33" s="30">
        <v>46127</v>
      </c>
      <c r="H33">
        <v>220</v>
      </c>
      <c r="L33" s="30">
        <v>46283</v>
      </c>
      <c r="M33">
        <v>26019</v>
      </c>
    </row>
    <row r="34" spans="2:13" x14ac:dyDescent="0.55000000000000004">
      <c r="B34" s="30">
        <v>46281</v>
      </c>
      <c r="C34">
        <v>3430</v>
      </c>
      <c r="G34" s="30">
        <v>46121</v>
      </c>
      <c r="H34">
        <v>180</v>
      </c>
      <c r="L34" s="30">
        <v>46282</v>
      </c>
      <c r="M34">
        <v>26009</v>
      </c>
    </row>
    <row r="35" spans="2:13" x14ac:dyDescent="0.55000000000000004">
      <c r="B35" s="30">
        <v>46280</v>
      </c>
      <c r="C35">
        <v>3481</v>
      </c>
      <c r="G35" s="30">
        <v>46114</v>
      </c>
      <c r="H35">
        <v>180</v>
      </c>
      <c r="L35" s="30">
        <v>46281</v>
      </c>
      <c r="M35">
        <v>25997</v>
      </c>
    </row>
    <row r="36" spans="2:13" x14ac:dyDescent="0.55000000000000004">
      <c r="B36" s="30">
        <v>46279</v>
      </c>
      <c r="C36">
        <v>3535</v>
      </c>
      <c r="G36" s="30">
        <v>46107</v>
      </c>
      <c r="H36">
        <v>180</v>
      </c>
      <c r="L36" s="30">
        <v>46280</v>
      </c>
      <c r="M36">
        <v>25958</v>
      </c>
    </row>
    <row r="37" spans="2:13" x14ac:dyDescent="0.55000000000000004">
      <c r="B37" s="30">
        <v>46276</v>
      </c>
      <c r="C37">
        <v>3525</v>
      </c>
      <c r="G37" s="30">
        <v>46100</v>
      </c>
      <c r="H37">
        <v>200</v>
      </c>
      <c r="L37" s="30">
        <v>46279</v>
      </c>
      <c r="M37">
        <v>25984</v>
      </c>
    </row>
    <row r="38" spans="2:13" x14ac:dyDescent="0.55000000000000004">
      <c r="B38" s="30">
        <v>46275</v>
      </c>
      <c r="C38">
        <v>3554</v>
      </c>
      <c r="G38" s="30">
        <v>46092</v>
      </c>
      <c r="H38">
        <v>200</v>
      </c>
      <c r="L38" s="30">
        <v>46276</v>
      </c>
      <c r="M38">
        <v>25920</v>
      </c>
    </row>
    <row r="39" spans="2:13" x14ac:dyDescent="0.55000000000000004">
      <c r="B39" s="30">
        <v>46274</v>
      </c>
      <c r="C39">
        <v>3472</v>
      </c>
      <c r="G39" s="30">
        <v>46086</v>
      </c>
      <c r="H39">
        <v>200</v>
      </c>
      <c r="L39" s="30">
        <v>46275</v>
      </c>
      <c r="M39">
        <v>25921</v>
      </c>
    </row>
    <row r="40" spans="2:13" x14ac:dyDescent="0.55000000000000004">
      <c r="B40" s="30">
        <v>46273</v>
      </c>
      <c r="C40">
        <v>3458</v>
      </c>
      <c r="G40" s="30">
        <v>46079</v>
      </c>
      <c r="H40">
        <v>160</v>
      </c>
      <c r="L40" s="30">
        <v>46274</v>
      </c>
      <c r="M40">
        <v>25904</v>
      </c>
    </row>
    <row r="41" spans="2:13" x14ac:dyDescent="0.55000000000000004">
      <c r="B41" s="30">
        <v>46272</v>
      </c>
      <c r="C41">
        <v>3405</v>
      </c>
      <c r="G41" s="30">
        <v>46072</v>
      </c>
      <c r="H41">
        <v>160</v>
      </c>
      <c r="L41" s="30">
        <v>46273</v>
      </c>
      <c r="M41">
        <v>25974</v>
      </c>
    </row>
    <row r="42" spans="2:13" x14ac:dyDescent="0.55000000000000004">
      <c r="B42" s="30">
        <v>46269</v>
      </c>
      <c r="C42">
        <v>3430</v>
      </c>
      <c r="G42" s="30">
        <v>46065</v>
      </c>
      <c r="H42">
        <v>140</v>
      </c>
      <c r="L42" s="30">
        <v>46272</v>
      </c>
      <c r="M42">
        <v>26015</v>
      </c>
    </row>
    <row r="43" spans="2:13" x14ac:dyDescent="0.55000000000000004">
      <c r="B43" s="30">
        <v>46268</v>
      </c>
      <c r="C43">
        <v>3374</v>
      </c>
      <c r="G43" s="30">
        <v>46058</v>
      </c>
      <c r="H43">
        <v>120</v>
      </c>
      <c r="L43" s="30">
        <v>46269</v>
      </c>
      <c r="M43">
        <v>26054</v>
      </c>
    </row>
    <row r="44" spans="2:13" x14ac:dyDescent="0.55000000000000004">
      <c r="B44" s="30">
        <v>46267</v>
      </c>
      <c r="C44">
        <v>3406</v>
      </c>
      <c r="G44" s="30">
        <v>46051</v>
      </c>
      <c r="H44">
        <v>80</v>
      </c>
      <c r="L44" s="30">
        <v>46268</v>
      </c>
      <c r="M44">
        <v>26070</v>
      </c>
    </row>
    <row r="45" spans="2:13" x14ac:dyDescent="0.55000000000000004">
      <c r="B45" s="30">
        <v>46266</v>
      </c>
      <c r="C45">
        <v>3461</v>
      </c>
      <c r="G45" s="30">
        <v>46044</v>
      </c>
      <c r="H45">
        <v>80</v>
      </c>
      <c r="L45" s="30">
        <v>46267</v>
      </c>
      <c r="M45">
        <v>26070</v>
      </c>
    </row>
    <row r="46" spans="2:13" x14ac:dyDescent="0.55000000000000004">
      <c r="B46" s="30">
        <v>46262</v>
      </c>
      <c r="C46">
        <v>3529</v>
      </c>
      <c r="G46" s="30">
        <v>46037</v>
      </c>
      <c r="H46">
        <v>60</v>
      </c>
      <c r="L46" s="30">
        <v>46266</v>
      </c>
      <c r="M46">
        <v>26070</v>
      </c>
    </row>
    <row r="47" spans="2:13" x14ac:dyDescent="0.55000000000000004">
      <c r="B47" s="30">
        <v>46261</v>
      </c>
      <c r="C47">
        <v>3555</v>
      </c>
      <c r="G47" s="30">
        <v>46030</v>
      </c>
      <c r="H47">
        <v>80</v>
      </c>
      <c r="L47" s="30">
        <v>46265</v>
      </c>
      <c r="M47">
        <v>26070</v>
      </c>
    </row>
    <row r="48" spans="2:13" x14ac:dyDescent="0.55000000000000004">
      <c r="B48" s="30">
        <v>46260</v>
      </c>
      <c r="C48">
        <v>3614</v>
      </c>
      <c r="G48" s="30">
        <v>46022</v>
      </c>
      <c r="H48">
        <v>60</v>
      </c>
      <c r="L48" s="30">
        <v>46262</v>
      </c>
      <c r="M48">
        <v>26070</v>
      </c>
    </row>
    <row r="49" spans="2:13" x14ac:dyDescent="0.55000000000000004">
      <c r="B49" s="30">
        <v>46259</v>
      </c>
      <c r="C49">
        <v>3691</v>
      </c>
      <c r="G49" s="30">
        <v>46015</v>
      </c>
      <c r="H49">
        <v>40</v>
      </c>
      <c r="L49" s="30">
        <v>46261</v>
      </c>
      <c r="M49">
        <v>26076</v>
      </c>
    </row>
    <row r="50" spans="2:13" x14ac:dyDescent="0.55000000000000004">
      <c r="B50" s="30">
        <v>46258</v>
      </c>
      <c r="C50">
        <v>3802</v>
      </c>
      <c r="G50" s="30">
        <v>46009</v>
      </c>
      <c r="H50">
        <v>60</v>
      </c>
      <c r="L50" s="30">
        <v>46260</v>
      </c>
      <c r="M50">
        <v>26102</v>
      </c>
    </row>
    <row r="51" spans="2:13" x14ac:dyDescent="0.55000000000000004">
      <c r="B51" s="30">
        <v>46255</v>
      </c>
      <c r="C51">
        <v>3618</v>
      </c>
      <c r="G51" s="30">
        <v>46002</v>
      </c>
      <c r="H51">
        <v>60</v>
      </c>
      <c r="L51" s="30">
        <v>46259</v>
      </c>
      <c r="M51">
        <v>26109</v>
      </c>
    </row>
    <row r="52" spans="2:13" x14ac:dyDescent="0.55000000000000004">
      <c r="B52" s="30">
        <v>46254</v>
      </c>
      <c r="C52">
        <v>3726</v>
      </c>
      <c r="G52" s="30">
        <v>45995</v>
      </c>
      <c r="H52">
        <v>80</v>
      </c>
      <c r="L52" s="30">
        <v>46258</v>
      </c>
      <c r="M52">
        <v>26172</v>
      </c>
    </row>
    <row r="53" spans="2:13" x14ac:dyDescent="0.55000000000000004">
      <c r="B53" s="30">
        <v>46253</v>
      </c>
      <c r="C53">
        <v>3728</v>
      </c>
      <c r="G53" s="30">
        <v>45988</v>
      </c>
      <c r="H53">
        <v>150</v>
      </c>
      <c r="L53" s="30">
        <v>46256</v>
      </c>
      <c r="M53">
        <v>26114</v>
      </c>
    </row>
    <row r="54" spans="2:13" x14ac:dyDescent="0.55000000000000004">
      <c r="B54" s="30">
        <v>46252</v>
      </c>
      <c r="C54">
        <v>3739</v>
      </c>
      <c r="G54" s="30">
        <v>45981</v>
      </c>
      <c r="H54">
        <v>150</v>
      </c>
      <c r="L54" s="30">
        <v>46255</v>
      </c>
      <c r="M54">
        <v>26114</v>
      </c>
    </row>
    <row r="55" spans="2:13" x14ac:dyDescent="0.55000000000000004">
      <c r="B55" s="30">
        <v>46251</v>
      </c>
      <c r="C55">
        <v>3644</v>
      </c>
      <c r="G55" s="30">
        <v>45974</v>
      </c>
      <c r="H55">
        <v>150</v>
      </c>
      <c r="L55" s="30">
        <v>46254</v>
      </c>
      <c r="M55">
        <v>26099</v>
      </c>
    </row>
    <row r="56" spans="2:13" x14ac:dyDescent="0.55000000000000004">
      <c r="B56" s="30">
        <v>46248</v>
      </c>
      <c r="C56">
        <v>3594</v>
      </c>
      <c r="G56" s="30">
        <v>45967</v>
      </c>
      <c r="H56">
        <v>150</v>
      </c>
      <c r="L56" s="30">
        <v>46253</v>
      </c>
      <c r="M56">
        <v>26179</v>
      </c>
    </row>
    <row r="57" spans="2:13" x14ac:dyDescent="0.55000000000000004">
      <c r="B57" s="30">
        <v>46247</v>
      </c>
      <c r="C57">
        <v>3644</v>
      </c>
      <c r="G57" s="30">
        <v>45960</v>
      </c>
      <c r="H57">
        <v>150</v>
      </c>
      <c r="L57" s="30">
        <v>46252</v>
      </c>
      <c r="M57">
        <v>26175</v>
      </c>
    </row>
    <row r="58" spans="2:13" x14ac:dyDescent="0.55000000000000004">
      <c r="B58" s="30">
        <v>46246</v>
      </c>
      <c r="C58">
        <v>3752</v>
      </c>
      <c r="G58" s="30">
        <v>45953</v>
      </c>
      <c r="H58">
        <v>150</v>
      </c>
      <c r="L58" s="30">
        <v>46251</v>
      </c>
      <c r="M58">
        <v>26200</v>
      </c>
    </row>
    <row r="59" spans="2:13" x14ac:dyDescent="0.55000000000000004">
      <c r="B59" s="30">
        <v>46245</v>
      </c>
      <c r="C59">
        <v>3777</v>
      </c>
      <c r="G59" s="30">
        <v>45946</v>
      </c>
      <c r="H59">
        <v>150</v>
      </c>
      <c r="L59" s="30">
        <v>46248</v>
      </c>
      <c r="M59">
        <v>26147</v>
      </c>
    </row>
    <row r="60" spans="2:13" x14ac:dyDescent="0.55000000000000004">
      <c r="B60" s="30">
        <v>46244</v>
      </c>
      <c r="C60">
        <v>3795</v>
      </c>
      <c r="G60" s="30">
        <v>45939</v>
      </c>
      <c r="H60">
        <v>170</v>
      </c>
      <c r="L60" s="30">
        <v>46247</v>
      </c>
      <c r="M60">
        <v>26070</v>
      </c>
    </row>
    <row r="61" spans="2:13" x14ac:dyDescent="0.55000000000000004">
      <c r="B61" s="30">
        <v>46241</v>
      </c>
      <c r="C61">
        <v>3767</v>
      </c>
      <c r="G61" s="30">
        <v>45932</v>
      </c>
      <c r="H61">
        <v>220</v>
      </c>
      <c r="L61" s="30">
        <v>46246</v>
      </c>
      <c r="M61">
        <v>26049</v>
      </c>
    </row>
    <row r="62" spans="2:13" x14ac:dyDescent="0.55000000000000004">
      <c r="B62" s="30">
        <v>46240</v>
      </c>
      <c r="C62">
        <v>3787</v>
      </c>
      <c r="G62" s="30">
        <v>45925</v>
      </c>
      <c r="H62">
        <v>200</v>
      </c>
      <c r="L62" s="30">
        <v>46245</v>
      </c>
      <c r="M62">
        <v>26133</v>
      </c>
    </row>
    <row r="63" spans="2:13" x14ac:dyDescent="0.55000000000000004">
      <c r="B63" s="30">
        <v>46239</v>
      </c>
      <c r="C63">
        <v>3884</v>
      </c>
      <c r="G63" s="30">
        <v>45918</v>
      </c>
      <c r="H63">
        <v>320</v>
      </c>
      <c r="L63" s="30">
        <v>46244</v>
      </c>
      <c r="M63">
        <v>26150</v>
      </c>
    </row>
    <row r="64" spans="2:13" x14ac:dyDescent="0.55000000000000004">
      <c r="B64" s="30">
        <v>46238</v>
      </c>
      <c r="C64">
        <v>3853</v>
      </c>
      <c r="G64" s="30">
        <v>45911</v>
      </c>
      <c r="H64">
        <v>450</v>
      </c>
      <c r="L64" s="30">
        <v>46241</v>
      </c>
      <c r="M64">
        <v>26203</v>
      </c>
    </row>
    <row r="65" spans="2:13" x14ac:dyDescent="0.55000000000000004">
      <c r="B65" s="30">
        <v>46237</v>
      </c>
      <c r="C65">
        <v>3784</v>
      </c>
      <c r="G65" s="30">
        <v>45904</v>
      </c>
      <c r="H65">
        <v>500</v>
      </c>
      <c r="L65" s="30">
        <v>46240</v>
      </c>
      <c r="M65">
        <v>26234</v>
      </c>
    </row>
    <row r="66" spans="2:13" x14ac:dyDescent="0.55000000000000004">
      <c r="B66" s="30">
        <v>46234</v>
      </c>
      <c r="C66">
        <v>3775</v>
      </c>
      <c r="G66" s="30">
        <v>45897</v>
      </c>
      <c r="H66">
        <v>600</v>
      </c>
      <c r="L66" s="30">
        <v>46239</v>
      </c>
      <c r="M66">
        <v>26249</v>
      </c>
    </row>
    <row r="67" spans="2:13" x14ac:dyDescent="0.55000000000000004">
      <c r="B67" s="30">
        <v>46233</v>
      </c>
      <c r="C67">
        <v>3761</v>
      </c>
      <c r="G67" s="30">
        <v>45890</v>
      </c>
      <c r="H67">
        <v>550</v>
      </c>
      <c r="L67" s="30">
        <v>46238</v>
      </c>
      <c r="M67">
        <v>26259</v>
      </c>
    </row>
    <row r="68" spans="2:13" x14ac:dyDescent="0.55000000000000004">
      <c r="B68" s="30">
        <v>46232</v>
      </c>
      <c r="C68">
        <v>3749</v>
      </c>
      <c r="G68" s="30">
        <v>45883</v>
      </c>
      <c r="H68">
        <v>550</v>
      </c>
      <c r="L68" s="30">
        <v>46237</v>
      </c>
      <c r="M68">
        <v>26286</v>
      </c>
    </row>
    <row r="69" spans="2:13" x14ac:dyDescent="0.55000000000000004">
      <c r="B69" s="30">
        <v>46231</v>
      </c>
      <c r="C69">
        <v>3859</v>
      </c>
      <c r="G69" s="30">
        <v>45876</v>
      </c>
      <c r="H69">
        <v>550</v>
      </c>
      <c r="L69" s="30">
        <v>46234</v>
      </c>
      <c r="M69">
        <v>26291</v>
      </c>
    </row>
    <row r="70" spans="2:13" x14ac:dyDescent="0.55000000000000004">
      <c r="B70" s="30">
        <v>46230</v>
      </c>
      <c r="C70">
        <v>3799</v>
      </c>
      <c r="G70" s="30">
        <v>45869</v>
      </c>
      <c r="H70">
        <v>370</v>
      </c>
      <c r="L70" s="30">
        <v>46233</v>
      </c>
      <c r="M70">
        <v>26279</v>
      </c>
    </row>
    <row r="71" spans="2:13" x14ac:dyDescent="0.55000000000000004">
      <c r="B71" s="30">
        <v>46227</v>
      </c>
      <c r="C71">
        <v>3757</v>
      </c>
      <c r="G71" s="30">
        <v>45862</v>
      </c>
      <c r="H71">
        <v>350</v>
      </c>
      <c r="L71" s="30">
        <v>46232</v>
      </c>
      <c r="M71">
        <v>26321</v>
      </c>
    </row>
    <row r="72" spans="2:13" x14ac:dyDescent="0.55000000000000004">
      <c r="B72" s="30">
        <v>46226</v>
      </c>
      <c r="C72">
        <v>3708</v>
      </c>
      <c r="G72" s="30">
        <v>45855</v>
      </c>
      <c r="H72">
        <v>300</v>
      </c>
      <c r="L72" s="30">
        <v>46231</v>
      </c>
      <c r="M72">
        <v>26330</v>
      </c>
    </row>
    <row r="73" spans="2:13" x14ac:dyDescent="0.55000000000000004">
      <c r="B73" s="30">
        <v>46225</v>
      </c>
      <c r="C73">
        <v>3796</v>
      </c>
      <c r="G73" s="30">
        <v>45848</v>
      </c>
      <c r="H73">
        <v>250</v>
      </c>
      <c r="L73" s="30">
        <v>46230</v>
      </c>
      <c r="M73">
        <v>26313</v>
      </c>
    </row>
    <row r="74" spans="2:13" x14ac:dyDescent="0.55000000000000004">
      <c r="B74" s="30">
        <v>46224</v>
      </c>
      <c r="C74">
        <v>3818</v>
      </c>
      <c r="G74" s="30">
        <v>45841</v>
      </c>
      <c r="H74">
        <v>200</v>
      </c>
      <c r="L74" s="30">
        <v>46227</v>
      </c>
      <c r="M74">
        <v>26324</v>
      </c>
    </row>
    <row r="75" spans="2:13" x14ac:dyDescent="0.55000000000000004">
      <c r="B75" s="30">
        <v>46223</v>
      </c>
      <c r="C75">
        <v>3884</v>
      </c>
      <c r="G75" s="30">
        <v>45834</v>
      </c>
      <c r="H75">
        <v>200</v>
      </c>
      <c r="L75" s="30">
        <v>46226</v>
      </c>
      <c r="M75">
        <v>26314</v>
      </c>
    </row>
    <row r="76" spans="2:13" x14ac:dyDescent="0.55000000000000004">
      <c r="B76" s="30">
        <v>46220</v>
      </c>
      <c r="C76">
        <v>3877</v>
      </c>
      <c r="G76" s="30">
        <v>45827</v>
      </c>
      <c r="H76">
        <v>130</v>
      </c>
      <c r="L76" s="30">
        <v>46225</v>
      </c>
      <c r="M76">
        <v>26312</v>
      </c>
    </row>
    <row r="77" spans="2:13" x14ac:dyDescent="0.55000000000000004">
      <c r="B77" s="30">
        <v>46219</v>
      </c>
      <c r="C77">
        <v>3797</v>
      </c>
      <c r="G77" s="30">
        <v>45820</v>
      </c>
      <c r="H77">
        <v>130</v>
      </c>
      <c r="L77" s="30">
        <v>46224</v>
      </c>
      <c r="M77">
        <v>26310</v>
      </c>
    </row>
    <row r="78" spans="2:13" x14ac:dyDescent="0.55000000000000004">
      <c r="B78" s="30">
        <v>46218</v>
      </c>
      <c r="C78">
        <v>3911</v>
      </c>
      <c r="G78" s="30">
        <v>45813</v>
      </c>
      <c r="H78">
        <v>130</v>
      </c>
      <c r="L78" s="30">
        <v>46223</v>
      </c>
      <c r="M78">
        <v>26290</v>
      </c>
    </row>
    <row r="79" spans="2:13" x14ac:dyDescent="0.55000000000000004">
      <c r="B79" s="30">
        <v>46217</v>
      </c>
      <c r="C79">
        <v>3849</v>
      </c>
      <c r="G79" s="30">
        <v>45805</v>
      </c>
      <c r="H79">
        <v>100</v>
      </c>
      <c r="L79" s="30">
        <v>46220</v>
      </c>
      <c r="M79">
        <v>26292</v>
      </c>
    </row>
    <row r="80" spans="2:13" x14ac:dyDescent="0.55000000000000004">
      <c r="B80" s="30">
        <v>46216</v>
      </c>
      <c r="C80">
        <v>3834</v>
      </c>
      <c r="G80" s="30">
        <v>45798</v>
      </c>
      <c r="H80">
        <v>50</v>
      </c>
      <c r="L80" s="30">
        <v>46219</v>
      </c>
      <c r="M80">
        <v>26251</v>
      </c>
    </row>
    <row r="81" spans="2:13" x14ac:dyDescent="0.55000000000000004">
      <c r="B81" s="30">
        <v>46213</v>
      </c>
      <c r="C81">
        <v>3852</v>
      </c>
      <c r="G81" s="30">
        <v>45792</v>
      </c>
      <c r="H81">
        <v>110</v>
      </c>
      <c r="L81" s="30">
        <v>46218</v>
      </c>
      <c r="M81">
        <v>26254</v>
      </c>
    </row>
    <row r="82" spans="2:13" x14ac:dyDescent="0.55000000000000004">
      <c r="B82" s="30">
        <v>46212</v>
      </c>
      <c r="C82">
        <v>4043</v>
      </c>
      <c r="G82" s="30">
        <v>45783</v>
      </c>
      <c r="H82">
        <v>130</v>
      </c>
      <c r="L82" s="30">
        <v>46217</v>
      </c>
      <c r="M82">
        <v>26259</v>
      </c>
    </row>
    <row r="83" spans="2:13" x14ac:dyDescent="0.55000000000000004">
      <c r="B83" s="30">
        <v>46211</v>
      </c>
      <c r="C83">
        <v>3741</v>
      </c>
      <c r="G83" s="30">
        <v>45777</v>
      </c>
      <c r="H83">
        <v>180</v>
      </c>
      <c r="L83" s="30">
        <v>46216</v>
      </c>
      <c r="M83">
        <v>26250</v>
      </c>
    </row>
    <row r="84" spans="2:13" x14ac:dyDescent="0.55000000000000004">
      <c r="B84" s="30">
        <v>46210</v>
      </c>
      <c r="C84">
        <v>3872</v>
      </c>
      <c r="G84" s="30">
        <v>45771</v>
      </c>
      <c r="H84">
        <v>200</v>
      </c>
      <c r="L84" s="30">
        <v>46213</v>
      </c>
      <c r="M84">
        <v>26261</v>
      </c>
    </row>
    <row r="85" spans="2:13" x14ac:dyDescent="0.55000000000000004">
      <c r="B85" s="30">
        <v>46209</v>
      </c>
      <c r="C85">
        <v>4044</v>
      </c>
      <c r="G85" s="30">
        <v>45764</v>
      </c>
      <c r="H85">
        <v>160</v>
      </c>
      <c r="L85" s="30">
        <v>46212</v>
      </c>
      <c r="M85">
        <v>26290</v>
      </c>
    </row>
    <row r="86" spans="2:13" x14ac:dyDescent="0.55000000000000004">
      <c r="B86" s="30">
        <v>46206</v>
      </c>
      <c r="C86">
        <v>3716</v>
      </c>
      <c r="G86" s="30">
        <v>45757</v>
      </c>
      <c r="H86">
        <v>140</v>
      </c>
      <c r="L86" s="30">
        <v>46211</v>
      </c>
      <c r="M86">
        <v>26294</v>
      </c>
    </row>
    <row r="87" spans="2:13" x14ac:dyDescent="0.55000000000000004">
      <c r="B87" s="30">
        <v>46205</v>
      </c>
      <c r="C87">
        <v>3783</v>
      </c>
      <c r="G87" s="30">
        <v>45750</v>
      </c>
      <c r="H87">
        <v>120</v>
      </c>
      <c r="L87" s="30">
        <v>46210</v>
      </c>
      <c r="M87">
        <v>26289</v>
      </c>
    </row>
    <row r="88" spans="2:13" x14ac:dyDescent="0.55000000000000004">
      <c r="B88" s="30">
        <v>46204</v>
      </c>
      <c r="C88">
        <v>3771</v>
      </c>
      <c r="G88" s="30">
        <v>45743</v>
      </c>
      <c r="H88">
        <v>120</v>
      </c>
      <c r="L88" s="30">
        <v>46209</v>
      </c>
      <c r="M88">
        <v>26299</v>
      </c>
    </row>
    <row r="89" spans="2:13" x14ac:dyDescent="0.55000000000000004">
      <c r="B89" s="30">
        <v>46203</v>
      </c>
      <c r="C89">
        <v>3658</v>
      </c>
      <c r="G89" s="30">
        <v>45736</v>
      </c>
      <c r="H89">
        <v>50</v>
      </c>
      <c r="L89" s="30">
        <v>46206</v>
      </c>
      <c r="M89">
        <v>26294</v>
      </c>
    </row>
    <row r="90" spans="2:13" x14ac:dyDescent="0.55000000000000004">
      <c r="B90" s="30">
        <v>46202</v>
      </c>
      <c r="C90">
        <v>3564</v>
      </c>
      <c r="G90" s="30">
        <v>45729</v>
      </c>
      <c r="H90">
        <v>-10</v>
      </c>
      <c r="L90" s="30">
        <v>46205</v>
      </c>
      <c r="M90">
        <v>26285</v>
      </c>
    </row>
    <row r="91" spans="2:13" x14ac:dyDescent="0.55000000000000004">
      <c r="B91" s="30">
        <v>46199</v>
      </c>
      <c r="C91">
        <v>3627</v>
      </c>
      <c r="G91" s="30">
        <v>45722</v>
      </c>
      <c r="H91">
        <v>-20</v>
      </c>
      <c r="L91" s="30">
        <v>46204</v>
      </c>
      <c r="M91">
        <v>26299</v>
      </c>
    </row>
    <row r="92" spans="2:13" x14ac:dyDescent="0.55000000000000004">
      <c r="B92" s="30">
        <v>46198</v>
      </c>
      <c r="C92">
        <v>3662</v>
      </c>
      <c r="G92" s="30">
        <v>45715</v>
      </c>
      <c r="H92">
        <v>-20</v>
      </c>
      <c r="L92" s="30">
        <v>46203</v>
      </c>
      <c r="M92">
        <v>26255</v>
      </c>
    </row>
    <row r="93" spans="2:13" x14ac:dyDescent="0.55000000000000004">
      <c r="B93" s="30">
        <v>46197</v>
      </c>
      <c r="C93">
        <v>3605</v>
      </c>
      <c r="G93" s="30">
        <v>45708</v>
      </c>
      <c r="H93">
        <v>-80</v>
      </c>
      <c r="L93" s="30">
        <v>46202</v>
      </c>
      <c r="M93">
        <v>26230</v>
      </c>
    </row>
    <row r="94" spans="2:13" x14ac:dyDescent="0.55000000000000004">
      <c r="B94" s="30">
        <v>46196</v>
      </c>
      <c r="C94">
        <v>3556</v>
      </c>
      <c r="G94" s="30">
        <v>45701</v>
      </c>
      <c r="H94">
        <v>40</v>
      </c>
      <c r="L94" s="30">
        <v>46199</v>
      </c>
      <c r="M94">
        <v>26245</v>
      </c>
    </row>
    <row r="95" spans="2:13" x14ac:dyDescent="0.55000000000000004">
      <c r="B95" s="30">
        <v>46195</v>
      </c>
      <c r="C95">
        <v>3542</v>
      </c>
      <c r="G95" s="30">
        <v>45694</v>
      </c>
      <c r="H95">
        <v>40</v>
      </c>
      <c r="L95" s="30">
        <v>46198</v>
      </c>
      <c r="M95">
        <v>26315</v>
      </c>
    </row>
    <row r="96" spans="2:13" x14ac:dyDescent="0.55000000000000004">
      <c r="B96" s="30">
        <v>46192</v>
      </c>
      <c r="C96">
        <v>3592</v>
      </c>
      <c r="G96" s="30">
        <v>45687</v>
      </c>
      <c r="H96">
        <v>40</v>
      </c>
      <c r="L96" s="30">
        <v>46197</v>
      </c>
      <c r="M96">
        <v>26330</v>
      </c>
    </row>
    <row r="97" spans="2:13" x14ac:dyDescent="0.55000000000000004">
      <c r="B97" s="30">
        <v>46191</v>
      </c>
      <c r="C97">
        <v>3629</v>
      </c>
      <c r="G97" s="30">
        <v>45680</v>
      </c>
      <c r="H97">
        <v>40</v>
      </c>
      <c r="L97" s="30">
        <v>46196</v>
      </c>
      <c r="M97">
        <v>26265</v>
      </c>
    </row>
    <row r="98" spans="2:13" x14ac:dyDescent="0.55000000000000004">
      <c r="B98" s="30">
        <v>46190</v>
      </c>
      <c r="C98">
        <v>3622</v>
      </c>
      <c r="G98" s="30">
        <v>45673</v>
      </c>
      <c r="H98">
        <v>40</v>
      </c>
      <c r="L98" s="30">
        <v>46195</v>
      </c>
      <c r="M98">
        <v>26315</v>
      </c>
    </row>
    <row r="99" spans="2:13" x14ac:dyDescent="0.55000000000000004">
      <c r="B99" s="30">
        <v>46189</v>
      </c>
      <c r="C99">
        <v>3598</v>
      </c>
      <c r="G99" s="30">
        <v>45666</v>
      </c>
      <c r="H99">
        <v>50</v>
      </c>
      <c r="L99" s="30">
        <v>46192</v>
      </c>
      <c r="M99">
        <v>26265</v>
      </c>
    </row>
    <row r="100" spans="2:13" x14ac:dyDescent="0.55000000000000004">
      <c r="B100" s="30">
        <v>46188</v>
      </c>
      <c r="C100">
        <v>3529</v>
      </c>
      <c r="G100" s="30">
        <v>45659</v>
      </c>
      <c r="H100">
        <v>80</v>
      </c>
      <c r="L100" s="30">
        <v>46191</v>
      </c>
      <c r="M100">
        <v>26270</v>
      </c>
    </row>
    <row r="101" spans="2:13" x14ac:dyDescent="0.55000000000000004">
      <c r="B101" s="30">
        <v>46185</v>
      </c>
      <c r="C101">
        <v>3525</v>
      </c>
      <c r="G101" s="30">
        <v>45652</v>
      </c>
      <c r="H101">
        <v>100</v>
      </c>
      <c r="L101" s="30">
        <v>46190</v>
      </c>
      <c r="M101">
        <v>26265</v>
      </c>
    </row>
    <row r="102" spans="2:13" x14ac:dyDescent="0.55000000000000004">
      <c r="B102" s="30">
        <v>46184</v>
      </c>
      <c r="C102">
        <v>3395</v>
      </c>
      <c r="G102" s="30">
        <v>45645</v>
      </c>
      <c r="H102">
        <v>100</v>
      </c>
      <c r="L102" s="30">
        <v>46189</v>
      </c>
      <c r="M102">
        <v>26240</v>
      </c>
    </row>
    <row r="103" spans="2:13" x14ac:dyDescent="0.55000000000000004">
      <c r="B103" s="30">
        <v>46183</v>
      </c>
      <c r="C103">
        <v>3297</v>
      </c>
      <c r="G103" s="30">
        <v>45638</v>
      </c>
      <c r="H103">
        <v>100</v>
      </c>
      <c r="L103" s="30">
        <v>46188</v>
      </c>
      <c r="M103">
        <v>26230</v>
      </c>
    </row>
    <row r="104" spans="2:13" x14ac:dyDescent="0.55000000000000004">
      <c r="B104" s="30">
        <v>46182</v>
      </c>
      <c r="C104">
        <v>3230</v>
      </c>
      <c r="G104" s="30">
        <v>45631</v>
      </c>
      <c r="H104">
        <v>80</v>
      </c>
      <c r="L104" s="30">
        <v>46185</v>
      </c>
      <c r="M104">
        <v>26250</v>
      </c>
    </row>
    <row r="105" spans="2:13" x14ac:dyDescent="0.55000000000000004">
      <c r="B105" s="30">
        <v>46181</v>
      </c>
      <c r="C105">
        <v>3260</v>
      </c>
      <c r="G105" s="30">
        <v>45624</v>
      </c>
      <c r="H105">
        <v>100</v>
      </c>
      <c r="L105" s="30">
        <v>46184</v>
      </c>
      <c r="M105">
        <v>26325</v>
      </c>
    </row>
    <row r="106" spans="2:13" x14ac:dyDescent="0.55000000000000004">
      <c r="B106" s="30">
        <v>46178</v>
      </c>
      <c r="C106">
        <v>3233</v>
      </c>
      <c r="G106" s="30">
        <v>45617</v>
      </c>
      <c r="H106">
        <v>220</v>
      </c>
      <c r="L106" s="30">
        <v>46183</v>
      </c>
      <c r="M106">
        <v>26265</v>
      </c>
    </row>
    <row r="107" spans="2:13" x14ac:dyDescent="0.55000000000000004">
      <c r="B107" s="30">
        <v>46177</v>
      </c>
      <c r="C107">
        <v>3270</v>
      </c>
      <c r="G107" s="30">
        <v>45610</v>
      </c>
      <c r="H107">
        <v>220</v>
      </c>
      <c r="L107" s="30">
        <v>46182</v>
      </c>
      <c r="M107">
        <v>26270</v>
      </c>
    </row>
    <row r="108" spans="2:13" x14ac:dyDescent="0.55000000000000004">
      <c r="B108" s="30">
        <v>46176</v>
      </c>
      <c r="C108">
        <v>3278</v>
      </c>
      <c r="G108" s="30">
        <v>45603</v>
      </c>
      <c r="H108">
        <v>250</v>
      </c>
      <c r="L108" s="30">
        <v>46181</v>
      </c>
      <c r="M108">
        <v>26285</v>
      </c>
    </row>
    <row r="109" spans="2:13" x14ac:dyDescent="0.55000000000000004">
      <c r="B109" s="30">
        <v>46175</v>
      </c>
      <c r="C109">
        <v>3335</v>
      </c>
      <c r="G109" s="30">
        <v>45596</v>
      </c>
      <c r="H109">
        <v>400</v>
      </c>
      <c r="L109" s="30">
        <v>46178</v>
      </c>
      <c r="M109">
        <v>26270</v>
      </c>
    </row>
    <row r="110" spans="2:13" x14ac:dyDescent="0.55000000000000004">
      <c r="B110" s="30">
        <v>46174</v>
      </c>
      <c r="C110">
        <v>3315</v>
      </c>
      <c r="G110" s="30">
        <v>45589</v>
      </c>
      <c r="H110">
        <v>350</v>
      </c>
      <c r="L110" s="30">
        <v>46177</v>
      </c>
      <c r="M110">
        <v>26275</v>
      </c>
    </row>
    <row r="111" spans="2:13" x14ac:dyDescent="0.55000000000000004">
      <c r="B111" s="30">
        <v>46171</v>
      </c>
      <c r="C111">
        <v>3347</v>
      </c>
      <c r="G111" s="30">
        <v>45582</v>
      </c>
      <c r="H111">
        <v>260</v>
      </c>
      <c r="L111" s="30">
        <v>46176</v>
      </c>
      <c r="M111">
        <v>26290</v>
      </c>
    </row>
    <row r="112" spans="2:13" x14ac:dyDescent="0.55000000000000004">
      <c r="B112" s="30">
        <v>46170</v>
      </c>
      <c r="C112">
        <v>3415</v>
      </c>
      <c r="G112" s="30">
        <v>45575</v>
      </c>
      <c r="H112">
        <v>260</v>
      </c>
      <c r="L112" s="30">
        <v>46175</v>
      </c>
      <c r="M112">
        <v>26275</v>
      </c>
    </row>
    <row r="113" spans="2:13" x14ac:dyDescent="0.55000000000000004">
      <c r="B113" s="30">
        <v>46169</v>
      </c>
      <c r="C113">
        <v>3339</v>
      </c>
      <c r="G113" s="30">
        <v>45568</v>
      </c>
      <c r="H113">
        <v>250</v>
      </c>
      <c r="L113" s="30">
        <v>46174</v>
      </c>
      <c r="M113">
        <v>26265</v>
      </c>
    </row>
    <row r="114" spans="2:13" x14ac:dyDescent="0.55000000000000004">
      <c r="B114" s="30">
        <v>46168</v>
      </c>
      <c r="C114">
        <v>3377</v>
      </c>
      <c r="G114" s="30">
        <v>45561</v>
      </c>
      <c r="H114">
        <v>250</v>
      </c>
      <c r="L114" s="30">
        <v>46171</v>
      </c>
      <c r="M114">
        <v>26255</v>
      </c>
    </row>
    <row r="115" spans="2:13" x14ac:dyDescent="0.55000000000000004">
      <c r="B115" s="30">
        <v>46164</v>
      </c>
      <c r="C115">
        <v>3456</v>
      </c>
      <c r="G115" s="30">
        <v>45554</v>
      </c>
      <c r="H115">
        <v>300</v>
      </c>
      <c r="L115" s="30">
        <v>46170</v>
      </c>
      <c r="M115">
        <v>26326</v>
      </c>
    </row>
    <row r="116" spans="2:13" x14ac:dyDescent="0.55000000000000004">
      <c r="B116" s="30">
        <v>46163</v>
      </c>
      <c r="C116">
        <v>3399</v>
      </c>
      <c r="G116" s="30">
        <v>45547</v>
      </c>
      <c r="H116">
        <v>550</v>
      </c>
      <c r="L116" s="30">
        <v>46169</v>
      </c>
      <c r="M116">
        <v>26273</v>
      </c>
    </row>
    <row r="117" spans="2:13" x14ac:dyDescent="0.55000000000000004">
      <c r="B117" s="30">
        <v>46162</v>
      </c>
      <c r="C117">
        <v>3328</v>
      </c>
      <c r="G117" s="30">
        <v>45540</v>
      </c>
      <c r="H117">
        <v>600</v>
      </c>
      <c r="L117" s="30">
        <v>46168</v>
      </c>
      <c r="M117">
        <v>26294</v>
      </c>
    </row>
    <row r="118" spans="2:13" x14ac:dyDescent="0.55000000000000004">
      <c r="B118" s="30">
        <v>46161</v>
      </c>
      <c r="C118">
        <v>3345</v>
      </c>
      <c r="G118" s="30">
        <v>45533</v>
      </c>
      <c r="H118">
        <v>750</v>
      </c>
      <c r="L118" s="30">
        <v>46167</v>
      </c>
      <c r="M118">
        <v>26322</v>
      </c>
    </row>
    <row r="119" spans="2:13" x14ac:dyDescent="0.55000000000000004">
      <c r="B119" s="30">
        <v>46160</v>
      </c>
      <c r="C119">
        <v>3306</v>
      </c>
      <c r="G119" s="30">
        <v>45526</v>
      </c>
      <c r="H119">
        <v>820</v>
      </c>
      <c r="L119" s="30">
        <v>46164</v>
      </c>
      <c r="M119">
        <v>26340</v>
      </c>
    </row>
    <row r="120" spans="2:13" x14ac:dyDescent="0.55000000000000004">
      <c r="B120" s="30">
        <v>46157</v>
      </c>
      <c r="C120">
        <v>3365</v>
      </c>
      <c r="G120" s="30">
        <v>45520</v>
      </c>
      <c r="H120">
        <v>850</v>
      </c>
      <c r="L120" s="30">
        <v>46163</v>
      </c>
      <c r="M120">
        <v>26350</v>
      </c>
    </row>
    <row r="121" spans="2:13" x14ac:dyDescent="0.55000000000000004">
      <c r="B121" s="30">
        <v>46156</v>
      </c>
      <c r="C121">
        <v>3487</v>
      </c>
      <c r="G121" s="30">
        <v>45512</v>
      </c>
      <c r="H121">
        <v>850</v>
      </c>
      <c r="L121" s="30">
        <v>46162</v>
      </c>
      <c r="M121">
        <v>26355</v>
      </c>
    </row>
    <row r="122" spans="2:13" x14ac:dyDescent="0.55000000000000004">
      <c r="B122" s="30">
        <v>46155</v>
      </c>
      <c r="C122">
        <v>3560</v>
      </c>
      <c r="G122" s="30">
        <v>45505</v>
      </c>
      <c r="H122">
        <v>850</v>
      </c>
      <c r="L122" s="30">
        <v>46161</v>
      </c>
      <c r="M122">
        <v>26329</v>
      </c>
    </row>
    <row r="123" spans="2:13" x14ac:dyDescent="0.55000000000000004">
      <c r="B123" s="30">
        <v>46154</v>
      </c>
      <c r="C123">
        <v>3482</v>
      </c>
      <c r="G123" s="30">
        <v>45498</v>
      </c>
      <c r="H123">
        <v>850</v>
      </c>
      <c r="L123" s="30">
        <v>46160</v>
      </c>
      <c r="M123">
        <v>26327</v>
      </c>
    </row>
    <row r="124" spans="2:13" x14ac:dyDescent="0.55000000000000004">
      <c r="B124" s="30">
        <v>46153</v>
      </c>
      <c r="C124">
        <v>3504</v>
      </c>
      <c r="G124" s="30">
        <v>45491</v>
      </c>
      <c r="H124">
        <v>900</v>
      </c>
      <c r="L124" s="30">
        <v>46157</v>
      </c>
      <c r="M124">
        <v>26350</v>
      </c>
    </row>
    <row r="125" spans="2:13" x14ac:dyDescent="0.55000000000000004">
      <c r="B125" s="30">
        <v>46150</v>
      </c>
      <c r="C125">
        <v>3414</v>
      </c>
      <c r="G125" s="30">
        <v>45483</v>
      </c>
      <c r="H125">
        <v>900</v>
      </c>
      <c r="L125" s="30">
        <v>46156</v>
      </c>
      <c r="M125">
        <v>26340</v>
      </c>
    </row>
    <row r="126" spans="2:13" x14ac:dyDescent="0.55000000000000004">
      <c r="B126" s="30">
        <v>46149</v>
      </c>
      <c r="C126">
        <v>3432</v>
      </c>
      <c r="G126" s="30">
        <v>45476</v>
      </c>
      <c r="H126">
        <v>880</v>
      </c>
      <c r="L126" s="30">
        <v>46155</v>
      </c>
      <c r="M126">
        <v>26317</v>
      </c>
    </row>
    <row r="127" spans="2:13" x14ac:dyDescent="0.55000000000000004">
      <c r="B127" s="30">
        <v>46148</v>
      </c>
      <c r="C127">
        <v>3413</v>
      </c>
      <c r="G127" s="30">
        <v>45470</v>
      </c>
      <c r="H127">
        <v>850</v>
      </c>
      <c r="L127" s="30">
        <v>46154</v>
      </c>
      <c r="M127">
        <v>26299</v>
      </c>
    </row>
    <row r="128" spans="2:13" x14ac:dyDescent="0.55000000000000004">
      <c r="B128" s="30">
        <v>46147</v>
      </c>
      <c r="C128">
        <v>3378</v>
      </c>
      <c r="G128" s="30">
        <v>45463</v>
      </c>
      <c r="H128">
        <v>900</v>
      </c>
      <c r="L128" s="30">
        <v>46153</v>
      </c>
      <c r="M128">
        <v>26320</v>
      </c>
    </row>
    <row r="129" spans="2:13" x14ac:dyDescent="0.55000000000000004">
      <c r="B129" s="30">
        <v>46143</v>
      </c>
      <c r="C129">
        <v>3364</v>
      </c>
      <c r="G129" s="30">
        <v>45456</v>
      </c>
      <c r="H129">
        <v>950</v>
      </c>
      <c r="L129" s="30">
        <v>46150</v>
      </c>
      <c r="M129">
        <v>26306</v>
      </c>
    </row>
    <row r="130" spans="2:13" x14ac:dyDescent="0.55000000000000004">
      <c r="B130" s="30">
        <v>46142</v>
      </c>
      <c r="C130">
        <v>3361</v>
      </c>
      <c r="G130" s="30">
        <v>45449</v>
      </c>
      <c r="H130">
        <v>950</v>
      </c>
      <c r="L130" s="30">
        <v>46149</v>
      </c>
      <c r="M130">
        <v>26260</v>
      </c>
    </row>
    <row r="131" spans="2:13" x14ac:dyDescent="0.55000000000000004">
      <c r="B131" s="30">
        <v>46141</v>
      </c>
      <c r="C131">
        <v>3442</v>
      </c>
      <c r="G131" s="30">
        <v>45442</v>
      </c>
      <c r="H131">
        <v>950</v>
      </c>
      <c r="L131" s="30">
        <v>46148</v>
      </c>
      <c r="M131">
        <v>26320</v>
      </c>
    </row>
    <row r="132" spans="2:13" x14ac:dyDescent="0.55000000000000004">
      <c r="B132" s="30">
        <v>46140</v>
      </c>
      <c r="C132">
        <v>3481</v>
      </c>
      <c r="G132" s="30">
        <v>45435</v>
      </c>
      <c r="H132">
        <v>1000</v>
      </c>
      <c r="L132" s="30">
        <v>46147</v>
      </c>
      <c r="M132">
        <v>26280</v>
      </c>
    </row>
    <row r="133" spans="2:13" x14ac:dyDescent="0.55000000000000004">
      <c r="B133" s="30">
        <v>46139</v>
      </c>
      <c r="C133">
        <v>3428</v>
      </c>
      <c r="G133" s="30">
        <v>45428</v>
      </c>
      <c r="H133">
        <v>1000</v>
      </c>
      <c r="L133" s="30">
        <v>46146</v>
      </c>
      <c r="M133">
        <v>26312</v>
      </c>
    </row>
    <row r="134" spans="2:13" x14ac:dyDescent="0.55000000000000004">
      <c r="B134" s="30">
        <v>46136</v>
      </c>
      <c r="C134">
        <v>3483</v>
      </c>
      <c r="G134" s="30">
        <v>45422</v>
      </c>
      <c r="H134">
        <v>950</v>
      </c>
      <c r="L134" s="30">
        <v>46143</v>
      </c>
      <c r="M134">
        <v>26355</v>
      </c>
    </row>
    <row r="135" spans="2:13" x14ac:dyDescent="0.55000000000000004">
      <c r="B135" s="30">
        <v>46135</v>
      </c>
      <c r="C135">
        <v>3507</v>
      </c>
      <c r="G135" s="30">
        <v>45414</v>
      </c>
      <c r="H135">
        <v>880</v>
      </c>
      <c r="L135" s="30">
        <v>46142</v>
      </c>
      <c r="M135">
        <v>26355</v>
      </c>
    </row>
    <row r="136" spans="2:13" x14ac:dyDescent="0.55000000000000004">
      <c r="B136" s="30">
        <v>46134</v>
      </c>
      <c r="C136">
        <v>3404</v>
      </c>
      <c r="G136" s="30">
        <v>45407</v>
      </c>
      <c r="H136">
        <v>830</v>
      </c>
      <c r="L136" s="30">
        <v>46141</v>
      </c>
      <c r="M136">
        <v>26355</v>
      </c>
    </row>
    <row r="137" spans="2:13" x14ac:dyDescent="0.55000000000000004">
      <c r="B137" s="30">
        <v>46133</v>
      </c>
      <c r="C137">
        <v>3339</v>
      </c>
      <c r="G137" s="30">
        <v>45400</v>
      </c>
      <c r="H137">
        <v>830</v>
      </c>
      <c r="L137" s="30">
        <v>46140</v>
      </c>
      <c r="M137">
        <v>26330</v>
      </c>
    </row>
    <row r="138" spans="2:13" x14ac:dyDescent="0.55000000000000004">
      <c r="B138" s="30">
        <v>46132</v>
      </c>
      <c r="C138">
        <v>3376</v>
      </c>
      <c r="G138" s="30">
        <v>45393</v>
      </c>
      <c r="H138">
        <v>800</v>
      </c>
      <c r="L138" s="30">
        <v>46139</v>
      </c>
      <c r="M138">
        <v>26350</v>
      </c>
    </row>
    <row r="139" spans="2:13" x14ac:dyDescent="0.55000000000000004">
      <c r="B139" s="30">
        <v>46129</v>
      </c>
      <c r="C139">
        <v>3263</v>
      </c>
      <c r="G139" s="30">
        <v>45386</v>
      </c>
      <c r="H139">
        <v>800</v>
      </c>
      <c r="L139" s="30">
        <v>46136</v>
      </c>
      <c r="M139">
        <v>26350</v>
      </c>
    </row>
    <row r="140" spans="2:13" x14ac:dyDescent="0.55000000000000004">
      <c r="B140" s="30">
        <v>46128</v>
      </c>
      <c r="C140">
        <v>3347</v>
      </c>
      <c r="G140" s="30">
        <v>45379</v>
      </c>
      <c r="H140">
        <v>780</v>
      </c>
      <c r="L140" s="30">
        <v>46135</v>
      </c>
      <c r="M140">
        <v>26294</v>
      </c>
    </row>
    <row r="141" spans="2:13" x14ac:dyDescent="0.55000000000000004">
      <c r="B141" s="30">
        <v>46127</v>
      </c>
      <c r="C141">
        <v>3394</v>
      </c>
      <c r="G141" s="30">
        <v>45372</v>
      </c>
      <c r="H141">
        <v>750</v>
      </c>
      <c r="L141" s="30">
        <v>46134</v>
      </c>
      <c r="M141">
        <v>26320</v>
      </c>
    </row>
    <row r="142" spans="2:13" x14ac:dyDescent="0.55000000000000004">
      <c r="B142" s="30">
        <v>46126</v>
      </c>
      <c r="C142">
        <v>3351</v>
      </c>
      <c r="G142" s="30">
        <v>45365</v>
      </c>
      <c r="H142">
        <v>680</v>
      </c>
      <c r="L142" s="30">
        <v>46133</v>
      </c>
      <c r="M142">
        <v>26325</v>
      </c>
    </row>
    <row r="143" spans="2:13" x14ac:dyDescent="0.55000000000000004">
      <c r="B143" s="30">
        <v>46125</v>
      </c>
      <c r="C143">
        <v>3254</v>
      </c>
      <c r="G143" s="30">
        <v>45358</v>
      </c>
      <c r="H143">
        <v>650</v>
      </c>
      <c r="L143" s="30">
        <v>46132</v>
      </c>
      <c r="M143">
        <v>26308</v>
      </c>
    </row>
    <row r="144" spans="2:13" x14ac:dyDescent="0.55000000000000004">
      <c r="B144" s="30">
        <v>46122</v>
      </c>
      <c r="C144">
        <v>3239</v>
      </c>
      <c r="G144" s="30">
        <v>45351</v>
      </c>
      <c r="H144">
        <v>600</v>
      </c>
      <c r="L144" s="30">
        <v>46129</v>
      </c>
      <c r="M144">
        <v>26313</v>
      </c>
    </row>
    <row r="145" spans="2:13" x14ac:dyDescent="0.55000000000000004">
      <c r="B145" s="30">
        <v>46121</v>
      </c>
      <c r="C145">
        <v>3239</v>
      </c>
      <c r="G145" s="30">
        <v>45344</v>
      </c>
      <c r="H145">
        <v>420</v>
      </c>
      <c r="L145" s="30">
        <v>46128</v>
      </c>
      <c r="M145">
        <v>26310</v>
      </c>
    </row>
    <row r="146" spans="2:13" x14ac:dyDescent="0.55000000000000004">
      <c r="B146" s="30">
        <v>46120</v>
      </c>
      <c r="C146">
        <v>3256</v>
      </c>
      <c r="G146" s="30">
        <v>45337</v>
      </c>
      <c r="H146">
        <v>400</v>
      </c>
      <c r="L146" s="30">
        <v>46127</v>
      </c>
      <c r="M146">
        <v>26302</v>
      </c>
    </row>
    <row r="147" spans="2:13" x14ac:dyDescent="0.55000000000000004">
      <c r="B147" s="30">
        <v>46119</v>
      </c>
      <c r="C147">
        <v>3231</v>
      </c>
      <c r="G147" s="30">
        <v>45330</v>
      </c>
      <c r="H147">
        <v>320</v>
      </c>
      <c r="L147" s="30">
        <v>46126</v>
      </c>
      <c r="M147">
        <v>26340</v>
      </c>
    </row>
    <row r="148" spans="2:13" x14ac:dyDescent="0.55000000000000004">
      <c r="B148" s="30">
        <v>46114</v>
      </c>
      <c r="C148">
        <v>3346</v>
      </c>
      <c r="G148" s="30">
        <v>45323</v>
      </c>
      <c r="H148">
        <v>280</v>
      </c>
      <c r="L148" s="30">
        <v>46125</v>
      </c>
      <c r="M148">
        <v>26325</v>
      </c>
    </row>
    <row r="149" spans="2:13" x14ac:dyDescent="0.55000000000000004">
      <c r="B149" s="30">
        <v>46113</v>
      </c>
      <c r="C149">
        <v>3428</v>
      </c>
      <c r="G149" s="30">
        <v>45316</v>
      </c>
      <c r="H149">
        <v>250</v>
      </c>
      <c r="L149" s="30">
        <v>46122</v>
      </c>
      <c r="M149">
        <v>26335</v>
      </c>
    </row>
    <row r="150" spans="2:13" x14ac:dyDescent="0.55000000000000004">
      <c r="B150" s="30">
        <v>46112</v>
      </c>
      <c r="C150">
        <v>3405</v>
      </c>
      <c r="G150" s="30">
        <v>45309</v>
      </c>
      <c r="H150">
        <v>250</v>
      </c>
      <c r="L150" s="30">
        <v>46121</v>
      </c>
      <c r="M150">
        <v>26320</v>
      </c>
    </row>
    <row r="151" spans="2:13" x14ac:dyDescent="0.55000000000000004">
      <c r="B151" s="30">
        <v>46111</v>
      </c>
      <c r="C151">
        <v>3348</v>
      </c>
      <c r="G151" s="30">
        <v>45302</v>
      </c>
      <c r="H151">
        <v>280</v>
      </c>
      <c r="L151" s="30">
        <v>46120</v>
      </c>
      <c r="M151">
        <v>26304</v>
      </c>
    </row>
    <row r="152" spans="2:13" x14ac:dyDescent="0.55000000000000004">
      <c r="B152" s="30">
        <v>46108</v>
      </c>
      <c r="C152">
        <v>3516</v>
      </c>
      <c r="G152" s="30">
        <v>45295</v>
      </c>
      <c r="H152">
        <v>230</v>
      </c>
      <c r="L152" s="30">
        <v>46119</v>
      </c>
      <c r="M152">
        <v>26305</v>
      </c>
    </row>
    <row r="153" spans="2:13" x14ac:dyDescent="0.55000000000000004">
      <c r="B153" s="30">
        <v>46107</v>
      </c>
      <c r="C153">
        <v>3522</v>
      </c>
      <c r="G153" s="30">
        <v>45288</v>
      </c>
      <c r="H153">
        <v>260</v>
      </c>
      <c r="L153" s="30">
        <v>46118</v>
      </c>
      <c r="M153">
        <v>26312</v>
      </c>
    </row>
    <row r="154" spans="2:13" x14ac:dyDescent="0.55000000000000004">
      <c r="B154" s="30">
        <v>46106</v>
      </c>
      <c r="C154">
        <v>3629</v>
      </c>
      <c r="G154" s="30">
        <v>45281</v>
      </c>
      <c r="H154">
        <v>260</v>
      </c>
      <c r="L154" s="30">
        <v>46115</v>
      </c>
      <c r="M154">
        <v>26318</v>
      </c>
    </row>
    <row r="155" spans="2:13" x14ac:dyDescent="0.55000000000000004">
      <c r="B155" s="30">
        <v>46105</v>
      </c>
      <c r="C155">
        <v>3662</v>
      </c>
      <c r="G155" s="30">
        <v>45274</v>
      </c>
      <c r="H155">
        <v>230</v>
      </c>
      <c r="L155" s="30">
        <v>46114</v>
      </c>
      <c r="M155">
        <v>26310</v>
      </c>
    </row>
    <row r="156" spans="2:13" x14ac:dyDescent="0.55000000000000004">
      <c r="B156" s="30">
        <v>46104</v>
      </c>
      <c r="C156">
        <v>3637</v>
      </c>
      <c r="G156" s="30">
        <v>45267</v>
      </c>
      <c r="H156">
        <v>200</v>
      </c>
      <c r="L156" s="30">
        <v>46113</v>
      </c>
      <c r="M156">
        <v>26310</v>
      </c>
    </row>
    <row r="157" spans="2:13" x14ac:dyDescent="0.55000000000000004">
      <c r="B157" s="30">
        <v>46101</v>
      </c>
      <c r="C157">
        <v>3664</v>
      </c>
      <c r="G157" s="30">
        <v>45260</v>
      </c>
      <c r="H157">
        <v>200</v>
      </c>
      <c r="L157" s="30">
        <v>46112</v>
      </c>
      <c r="M157">
        <v>26323</v>
      </c>
    </row>
    <row r="158" spans="2:13" x14ac:dyDescent="0.55000000000000004">
      <c r="B158" s="30">
        <v>46100</v>
      </c>
      <c r="C158">
        <v>3669</v>
      </c>
      <c r="G158" s="30">
        <v>45253</v>
      </c>
      <c r="H158">
        <v>230</v>
      </c>
      <c r="L158" s="30">
        <v>46111</v>
      </c>
      <c r="M158">
        <v>26335</v>
      </c>
    </row>
    <row r="159" spans="2:13" x14ac:dyDescent="0.55000000000000004">
      <c r="B159" s="30">
        <v>46099</v>
      </c>
      <c r="C159">
        <v>3579</v>
      </c>
      <c r="G159" s="30">
        <v>45246</v>
      </c>
      <c r="H159">
        <v>250</v>
      </c>
      <c r="L159" s="30">
        <v>46108</v>
      </c>
      <c r="M159">
        <v>26320</v>
      </c>
    </row>
    <row r="160" spans="2:13" x14ac:dyDescent="0.55000000000000004">
      <c r="B160" s="30">
        <v>46098</v>
      </c>
      <c r="C160">
        <v>3527</v>
      </c>
      <c r="G160" s="30">
        <v>45239</v>
      </c>
      <c r="H160">
        <v>300</v>
      </c>
      <c r="L160" s="30">
        <v>46107</v>
      </c>
      <c r="M160">
        <v>26348</v>
      </c>
    </row>
    <row r="161" spans="2:13" x14ac:dyDescent="0.55000000000000004">
      <c r="B161" s="30">
        <v>46097</v>
      </c>
      <c r="C161">
        <v>3475</v>
      </c>
      <c r="G161" s="30">
        <v>45232</v>
      </c>
      <c r="H161">
        <v>300</v>
      </c>
      <c r="L161" s="30">
        <v>46106</v>
      </c>
      <c r="M161">
        <v>26341</v>
      </c>
    </row>
    <row r="162" spans="2:13" x14ac:dyDescent="0.55000000000000004">
      <c r="B162" s="30">
        <v>46094</v>
      </c>
      <c r="C162">
        <v>3455</v>
      </c>
      <c r="G162" s="30">
        <v>45225</v>
      </c>
      <c r="H162">
        <v>360</v>
      </c>
      <c r="L162" s="30">
        <v>46105</v>
      </c>
      <c r="M162">
        <v>26350</v>
      </c>
    </row>
    <row r="163" spans="2:13" x14ac:dyDescent="0.55000000000000004">
      <c r="B163" s="30">
        <v>46093</v>
      </c>
      <c r="C163">
        <v>3625</v>
      </c>
      <c r="G163" s="30">
        <v>45218</v>
      </c>
      <c r="H163">
        <v>360</v>
      </c>
      <c r="L163" s="30">
        <v>46104</v>
      </c>
      <c r="M163">
        <v>26339</v>
      </c>
    </row>
    <row r="164" spans="2:13" x14ac:dyDescent="0.55000000000000004">
      <c r="B164" s="30">
        <v>46092</v>
      </c>
      <c r="C164">
        <v>3553</v>
      </c>
      <c r="G164" s="30">
        <v>45211</v>
      </c>
      <c r="H164">
        <v>380</v>
      </c>
      <c r="L164" s="30">
        <v>46101</v>
      </c>
      <c r="M164">
        <v>26285</v>
      </c>
    </row>
    <row r="165" spans="2:13" x14ac:dyDescent="0.55000000000000004">
      <c r="B165" s="30">
        <v>46091</v>
      </c>
      <c r="C165">
        <v>3692</v>
      </c>
      <c r="G165" s="30">
        <v>45204</v>
      </c>
      <c r="H165">
        <v>380</v>
      </c>
      <c r="L165" s="30">
        <v>46100</v>
      </c>
      <c r="M165">
        <v>26255</v>
      </c>
    </row>
    <row r="166" spans="2:13" x14ac:dyDescent="0.55000000000000004">
      <c r="B166" s="30">
        <v>46090</v>
      </c>
      <c r="C166">
        <v>3771</v>
      </c>
      <c r="G166" s="30">
        <v>45197</v>
      </c>
      <c r="H166">
        <v>400</v>
      </c>
      <c r="L166" s="30">
        <v>46099</v>
      </c>
      <c r="M166">
        <v>26300</v>
      </c>
    </row>
    <row r="167" spans="2:13" x14ac:dyDescent="0.55000000000000004">
      <c r="B167" s="30">
        <v>46087</v>
      </c>
      <c r="C167">
        <v>3772</v>
      </c>
      <c r="G167" s="30">
        <v>45190</v>
      </c>
      <c r="H167">
        <v>350</v>
      </c>
      <c r="L167" s="30">
        <v>46098</v>
      </c>
      <c r="M167">
        <v>26280</v>
      </c>
    </row>
    <row r="168" spans="2:13" x14ac:dyDescent="0.55000000000000004">
      <c r="B168" s="30">
        <v>46086</v>
      </c>
      <c r="C168">
        <v>3751</v>
      </c>
      <c r="G168" s="30">
        <v>45183</v>
      </c>
      <c r="H168">
        <v>350</v>
      </c>
      <c r="L168" s="30">
        <v>46097</v>
      </c>
      <c r="M168">
        <v>26260</v>
      </c>
    </row>
    <row r="169" spans="2:13" x14ac:dyDescent="0.55000000000000004">
      <c r="B169" s="30">
        <v>46085</v>
      </c>
      <c r="C169">
        <v>3734</v>
      </c>
      <c r="G169" s="30">
        <v>45176</v>
      </c>
      <c r="H169">
        <v>350</v>
      </c>
      <c r="L169" s="30">
        <v>46094</v>
      </c>
      <c r="M169">
        <v>26271</v>
      </c>
    </row>
    <row r="170" spans="2:13" x14ac:dyDescent="0.55000000000000004">
      <c r="B170" s="30">
        <v>46084</v>
      </c>
      <c r="C170">
        <v>3705</v>
      </c>
      <c r="G170" s="30">
        <v>45169</v>
      </c>
      <c r="H170">
        <v>350</v>
      </c>
      <c r="L170" s="30">
        <v>46093</v>
      </c>
      <c r="M170">
        <v>26240</v>
      </c>
    </row>
    <row r="171" spans="2:13" x14ac:dyDescent="0.55000000000000004">
      <c r="B171" s="30">
        <v>46083</v>
      </c>
      <c r="C171">
        <v>3772</v>
      </c>
      <c r="G171" s="30">
        <v>45162</v>
      </c>
      <c r="H171">
        <v>350</v>
      </c>
      <c r="L171" s="30">
        <v>46092</v>
      </c>
      <c r="M171">
        <v>26190</v>
      </c>
    </row>
    <row r="172" spans="2:13" x14ac:dyDescent="0.55000000000000004">
      <c r="B172" s="30">
        <v>46080</v>
      </c>
      <c r="C172">
        <v>3624</v>
      </c>
      <c r="G172" s="30">
        <v>45155</v>
      </c>
      <c r="H172">
        <v>370</v>
      </c>
      <c r="L172" s="30">
        <v>46091</v>
      </c>
      <c r="M172">
        <v>26175</v>
      </c>
    </row>
    <row r="173" spans="2:13" x14ac:dyDescent="0.55000000000000004">
      <c r="B173" s="30">
        <v>46079</v>
      </c>
      <c r="C173">
        <v>3639</v>
      </c>
      <c r="G173" s="30">
        <v>45148</v>
      </c>
      <c r="H173">
        <v>370</v>
      </c>
      <c r="L173" s="30">
        <v>46090</v>
      </c>
      <c r="M173">
        <v>26245</v>
      </c>
    </row>
    <row r="174" spans="2:13" x14ac:dyDescent="0.55000000000000004">
      <c r="B174" s="30">
        <v>46078</v>
      </c>
      <c r="C174">
        <v>3703</v>
      </c>
      <c r="G174" s="30">
        <v>45141</v>
      </c>
      <c r="H174">
        <v>370</v>
      </c>
      <c r="L174" s="30">
        <v>46087</v>
      </c>
      <c r="M174">
        <v>26190</v>
      </c>
    </row>
    <row r="175" spans="2:13" x14ac:dyDescent="0.55000000000000004">
      <c r="B175" s="30">
        <v>46077</v>
      </c>
      <c r="C175">
        <v>3640</v>
      </c>
      <c r="G175" s="30">
        <v>45134</v>
      </c>
      <c r="H175">
        <v>370</v>
      </c>
      <c r="L175" s="30">
        <v>46086</v>
      </c>
      <c r="M175">
        <v>26210</v>
      </c>
    </row>
    <row r="176" spans="2:13" x14ac:dyDescent="0.55000000000000004">
      <c r="B176" s="30">
        <v>46076</v>
      </c>
      <c r="C176">
        <v>3560</v>
      </c>
      <c r="G176" s="30">
        <v>45127</v>
      </c>
      <c r="H176">
        <v>350</v>
      </c>
      <c r="L176" s="30">
        <v>46085</v>
      </c>
      <c r="M176">
        <v>26165</v>
      </c>
    </row>
    <row r="177" spans="2:13" x14ac:dyDescent="0.55000000000000004">
      <c r="B177" s="30">
        <v>46073</v>
      </c>
      <c r="C177">
        <v>3591</v>
      </c>
      <c r="G177" s="30">
        <v>45120</v>
      </c>
      <c r="H177">
        <v>350</v>
      </c>
      <c r="L177" s="30">
        <v>46084</v>
      </c>
      <c r="M177">
        <v>26150</v>
      </c>
    </row>
    <row r="178" spans="2:13" x14ac:dyDescent="0.55000000000000004">
      <c r="B178" s="30">
        <v>46072</v>
      </c>
      <c r="C178">
        <v>3620</v>
      </c>
      <c r="G178" s="30">
        <v>45113</v>
      </c>
      <c r="H178">
        <v>320</v>
      </c>
      <c r="L178" s="30">
        <v>46083</v>
      </c>
      <c r="M178">
        <v>26160</v>
      </c>
    </row>
    <row r="179" spans="2:13" x14ac:dyDescent="0.55000000000000004">
      <c r="B179" s="30">
        <v>46071</v>
      </c>
      <c r="C179">
        <v>3683</v>
      </c>
      <c r="G179" s="30">
        <v>45106</v>
      </c>
      <c r="H179">
        <v>300</v>
      </c>
      <c r="L179" s="30">
        <v>46080</v>
      </c>
      <c r="M179">
        <v>26040</v>
      </c>
    </row>
    <row r="180" spans="2:13" x14ac:dyDescent="0.55000000000000004">
      <c r="B180" s="30">
        <v>46070</v>
      </c>
      <c r="C180">
        <v>3619</v>
      </c>
      <c r="G180" s="30">
        <v>45099</v>
      </c>
      <c r="H180">
        <v>300</v>
      </c>
      <c r="L180" s="30">
        <v>46079</v>
      </c>
      <c r="M180">
        <v>26030</v>
      </c>
    </row>
    <row r="181" spans="2:13" x14ac:dyDescent="0.55000000000000004">
      <c r="B181" s="30">
        <v>46069</v>
      </c>
      <c r="C181">
        <v>3795</v>
      </c>
      <c r="G181" s="30">
        <v>45092</v>
      </c>
      <c r="H181">
        <v>280</v>
      </c>
      <c r="L181" s="30">
        <v>46078</v>
      </c>
      <c r="M181">
        <v>26099</v>
      </c>
    </row>
    <row r="182" spans="2:13" x14ac:dyDescent="0.55000000000000004">
      <c r="B182" s="30">
        <v>46066</v>
      </c>
      <c r="C182">
        <v>3800</v>
      </c>
      <c r="G182" s="30">
        <v>45085</v>
      </c>
      <c r="H182">
        <v>280</v>
      </c>
      <c r="L182" s="30">
        <v>46077</v>
      </c>
      <c r="M182">
        <v>26180</v>
      </c>
    </row>
    <row r="183" spans="2:13" x14ac:dyDescent="0.55000000000000004">
      <c r="B183" s="30">
        <v>46065</v>
      </c>
      <c r="C183">
        <v>3765</v>
      </c>
      <c r="G183" s="30">
        <v>45078</v>
      </c>
      <c r="H183">
        <v>200</v>
      </c>
      <c r="L183" s="30">
        <v>46076</v>
      </c>
      <c r="M183">
        <v>26080</v>
      </c>
    </row>
    <row r="184" spans="2:13" x14ac:dyDescent="0.55000000000000004">
      <c r="B184" s="30">
        <v>46064</v>
      </c>
      <c r="C184">
        <v>3692</v>
      </c>
      <c r="G184" s="30">
        <v>45071</v>
      </c>
      <c r="H184">
        <v>100</v>
      </c>
      <c r="L184" s="30">
        <v>46073</v>
      </c>
      <c r="M184">
        <v>25920</v>
      </c>
    </row>
    <row r="185" spans="2:13" x14ac:dyDescent="0.55000000000000004">
      <c r="B185" s="30">
        <v>46063</v>
      </c>
      <c r="C185">
        <v>3683</v>
      </c>
      <c r="G185" s="30">
        <v>45063</v>
      </c>
      <c r="H185">
        <v>70</v>
      </c>
      <c r="L185" s="30">
        <v>46072</v>
      </c>
      <c r="M185">
        <v>25920</v>
      </c>
    </row>
    <row r="186" spans="2:13" x14ac:dyDescent="0.55000000000000004">
      <c r="B186" s="30">
        <v>46062</v>
      </c>
      <c r="C186">
        <v>3770</v>
      </c>
      <c r="G186" s="30">
        <v>45056</v>
      </c>
      <c r="H186">
        <v>80</v>
      </c>
      <c r="L186" s="30">
        <v>46071</v>
      </c>
      <c r="M186">
        <v>25920</v>
      </c>
    </row>
    <row r="187" spans="2:13" x14ac:dyDescent="0.55000000000000004">
      <c r="B187" s="30">
        <v>46059</v>
      </c>
      <c r="C187">
        <v>3668</v>
      </c>
      <c r="G187" s="30">
        <v>45050</v>
      </c>
      <c r="H187">
        <v>60</v>
      </c>
      <c r="L187" s="30">
        <v>46070</v>
      </c>
      <c r="M187">
        <v>25920</v>
      </c>
    </row>
    <row r="188" spans="2:13" x14ac:dyDescent="0.55000000000000004">
      <c r="B188" s="30">
        <v>46058</v>
      </c>
      <c r="C188">
        <v>3749</v>
      </c>
      <c r="G188" s="30">
        <v>45043</v>
      </c>
      <c r="H188">
        <v>60</v>
      </c>
      <c r="L188" s="30">
        <v>46069</v>
      </c>
      <c r="M188">
        <v>25920</v>
      </c>
    </row>
    <row r="189" spans="2:13" x14ac:dyDescent="0.55000000000000004">
      <c r="B189" s="30">
        <v>46057</v>
      </c>
      <c r="C189">
        <v>3689</v>
      </c>
      <c r="G189" s="30">
        <v>45036</v>
      </c>
      <c r="H189">
        <v>60</v>
      </c>
      <c r="L189" s="30">
        <v>46066</v>
      </c>
      <c r="M189">
        <v>25920</v>
      </c>
    </row>
    <row r="190" spans="2:13" x14ac:dyDescent="0.55000000000000004">
      <c r="B190" s="30">
        <v>46056</v>
      </c>
      <c r="C190">
        <v>3719</v>
      </c>
      <c r="G190" s="30">
        <v>45029</v>
      </c>
      <c r="H190">
        <v>60</v>
      </c>
      <c r="L190" s="30">
        <v>46065</v>
      </c>
      <c r="M190">
        <v>25910</v>
      </c>
    </row>
    <row r="191" spans="2:13" x14ac:dyDescent="0.55000000000000004">
      <c r="B191" s="30">
        <v>46055</v>
      </c>
      <c r="C191">
        <v>3952</v>
      </c>
      <c r="G191" s="30">
        <v>45022</v>
      </c>
      <c r="H191">
        <v>60</v>
      </c>
      <c r="L191" s="30">
        <v>46064</v>
      </c>
      <c r="M191">
        <v>25950</v>
      </c>
    </row>
    <row r="192" spans="2:13" x14ac:dyDescent="0.55000000000000004">
      <c r="B192" s="30">
        <v>46052</v>
      </c>
      <c r="C192">
        <v>4037</v>
      </c>
      <c r="G192" s="30">
        <v>45015</v>
      </c>
      <c r="H192">
        <v>60</v>
      </c>
      <c r="L192" s="30">
        <v>46063</v>
      </c>
      <c r="M192">
        <v>25840</v>
      </c>
    </row>
    <row r="193" spans="2:13" x14ac:dyDescent="0.55000000000000004">
      <c r="B193" s="30">
        <v>46051</v>
      </c>
      <c r="C193">
        <v>4096</v>
      </c>
      <c r="G193" s="30">
        <v>45008</v>
      </c>
      <c r="H193">
        <v>60</v>
      </c>
      <c r="L193" s="30">
        <v>46062</v>
      </c>
      <c r="M193">
        <v>25860</v>
      </c>
    </row>
    <row r="194" spans="2:13" x14ac:dyDescent="0.55000000000000004">
      <c r="B194" s="30">
        <v>46050</v>
      </c>
      <c r="C194">
        <v>4073</v>
      </c>
      <c r="G194" s="30">
        <v>45001</v>
      </c>
      <c r="H194">
        <v>30</v>
      </c>
      <c r="L194" s="30">
        <v>46059</v>
      </c>
      <c r="M194">
        <v>25900</v>
      </c>
    </row>
    <row r="195" spans="2:13" x14ac:dyDescent="0.55000000000000004">
      <c r="B195" s="30">
        <v>46049</v>
      </c>
      <c r="C195">
        <v>4192</v>
      </c>
      <c r="G195" s="30">
        <v>44994</v>
      </c>
      <c r="H195">
        <v>30</v>
      </c>
      <c r="L195" s="30">
        <v>46058</v>
      </c>
      <c r="M195">
        <v>25950</v>
      </c>
    </row>
    <row r="196" spans="2:13" x14ac:dyDescent="0.55000000000000004">
      <c r="B196" s="30">
        <v>46048</v>
      </c>
      <c r="C196">
        <v>4197</v>
      </c>
      <c r="G196" s="30">
        <v>44987</v>
      </c>
      <c r="H196">
        <v>20</v>
      </c>
      <c r="L196" s="30">
        <v>46057</v>
      </c>
      <c r="M196">
        <v>25978</v>
      </c>
    </row>
    <row r="197" spans="2:13" x14ac:dyDescent="0.55000000000000004">
      <c r="B197" s="30">
        <v>46045</v>
      </c>
      <c r="C197">
        <v>4142</v>
      </c>
      <c r="G197" s="30">
        <v>44980</v>
      </c>
      <c r="H197">
        <v>-10</v>
      </c>
      <c r="L197" s="30">
        <v>46056</v>
      </c>
      <c r="M197">
        <v>26000</v>
      </c>
    </row>
    <row r="198" spans="2:13" x14ac:dyDescent="0.55000000000000004">
      <c r="B198" s="30">
        <v>46044</v>
      </c>
      <c r="C198">
        <v>4026</v>
      </c>
      <c r="G198" s="30">
        <v>44973</v>
      </c>
      <c r="H198">
        <v>-10</v>
      </c>
      <c r="L198" s="30">
        <v>46055</v>
      </c>
      <c r="M198">
        <v>25970</v>
      </c>
    </row>
    <row r="199" spans="2:13" x14ac:dyDescent="0.55000000000000004">
      <c r="B199" s="30">
        <v>46043</v>
      </c>
      <c r="C199">
        <v>4078</v>
      </c>
      <c r="G199" s="30">
        <v>44966</v>
      </c>
      <c r="H199">
        <v>-10</v>
      </c>
      <c r="L199" s="30">
        <v>46052</v>
      </c>
      <c r="M199">
        <v>25880</v>
      </c>
    </row>
    <row r="200" spans="2:13" x14ac:dyDescent="0.55000000000000004">
      <c r="B200" s="30">
        <v>46042</v>
      </c>
      <c r="C200">
        <v>3941</v>
      </c>
      <c r="G200" s="30">
        <v>44959</v>
      </c>
      <c r="H200">
        <v>20</v>
      </c>
      <c r="L200" s="30">
        <v>46051</v>
      </c>
      <c r="M200">
        <v>25950</v>
      </c>
    </row>
    <row r="201" spans="2:13" x14ac:dyDescent="0.55000000000000004">
      <c r="B201" s="30">
        <v>46041</v>
      </c>
      <c r="C201">
        <v>4016</v>
      </c>
      <c r="G201" s="30">
        <v>44952</v>
      </c>
      <c r="H201">
        <v>20</v>
      </c>
      <c r="L201" s="30">
        <v>46050</v>
      </c>
      <c r="M201">
        <v>26020</v>
      </c>
    </row>
    <row r="202" spans="2:13" x14ac:dyDescent="0.55000000000000004">
      <c r="B202" s="30">
        <v>46038</v>
      </c>
      <c r="C202">
        <v>4000</v>
      </c>
      <c r="G202" s="30">
        <v>44945</v>
      </c>
      <c r="H202">
        <v>30</v>
      </c>
      <c r="L202" s="30">
        <v>46049</v>
      </c>
      <c r="M202">
        <v>26130</v>
      </c>
    </row>
    <row r="203" spans="2:13" x14ac:dyDescent="0.55000000000000004">
      <c r="B203" s="30">
        <v>46037</v>
      </c>
      <c r="C203">
        <v>4003</v>
      </c>
      <c r="G203" s="30">
        <v>44938</v>
      </c>
      <c r="H203">
        <v>30</v>
      </c>
      <c r="L203" s="30">
        <v>46048</v>
      </c>
      <c r="M203">
        <v>26181</v>
      </c>
    </row>
    <row r="204" spans="2:13" x14ac:dyDescent="0.55000000000000004">
      <c r="B204" s="30">
        <v>46036</v>
      </c>
      <c r="C204">
        <v>3955</v>
      </c>
      <c r="G204" s="30">
        <v>44931</v>
      </c>
      <c r="H204">
        <v>30</v>
      </c>
      <c r="L204" s="30">
        <v>46045</v>
      </c>
      <c r="M204">
        <v>26205</v>
      </c>
    </row>
    <row r="205" spans="2:13" x14ac:dyDescent="0.55000000000000004">
      <c r="B205" s="30">
        <v>46035</v>
      </c>
      <c r="C205">
        <v>3953</v>
      </c>
      <c r="G205" s="30">
        <v>44924</v>
      </c>
      <c r="H205">
        <v>40</v>
      </c>
      <c r="L205" s="30">
        <v>46044</v>
      </c>
      <c r="M205">
        <v>26267</v>
      </c>
    </row>
    <row r="206" spans="2:13" x14ac:dyDescent="0.55000000000000004">
      <c r="B206" s="30">
        <v>46034</v>
      </c>
      <c r="C206">
        <v>3917</v>
      </c>
      <c r="G206" s="30">
        <v>44917</v>
      </c>
      <c r="H206">
        <v>40</v>
      </c>
      <c r="L206" s="30">
        <v>46043</v>
      </c>
      <c r="M206">
        <v>26225</v>
      </c>
    </row>
    <row r="207" spans="2:13" x14ac:dyDescent="0.55000000000000004">
      <c r="B207" s="30">
        <v>46031</v>
      </c>
      <c r="C207">
        <v>3903</v>
      </c>
      <c r="G207" s="30">
        <v>44910</v>
      </c>
      <c r="H207">
        <v>40</v>
      </c>
      <c r="L207" s="30">
        <v>46042</v>
      </c>
      <c r="M207">
        <v>26264</v>
      </c>
    </row>
    <row r="208" spans="2:13" x14ac:dyDescent="0.55000000000000004">
      <c r="B208" s="30">
        <v>46030</v>
      </c>
      <c r="C208">
        <v>3928</v>
      </c>
      <c r="G208" s="30">
        <v>44903</v>
      </c>
      <c r="H208">
        <v>0</v>
      </c>
      <c r="L208" s="30">
        <v>46041</v>
      </c>
      <c r="M208">
        <v>26225</v>
      </c>
    </row>
    <row r="209" spans="2:13" x14ac:dyDescent="0.55000000000000004">
      <c r="B209" s="30">
        <v>46029</v>
      </c>
      <c r="C209">
        <v>3939</v>
      </c>
      <c r="G209" s="30">
        <v>44896</v>
      </c>
      <c r="H209">
        <v>-30</v>
      </c>
      <c r="L209" s="30">
        <v>46038</v>
      </c>
      <c r="M209">
        <v>26235</v>
      </c>
    </row>
    <row r="210" spans="2:13" x14ac:dyDescent="0.55000000000000004">
      <c r="B210" s="30">
        <v>46028</v>
      </c>
      <c r="C210">
        <v>4007</v>
      </c>
      <c r="G210" s="30">
        <v>44889</v>
      </c>
      <c r="H210">
        <v>-30</v>
      </c>
      <c r="L210" s="30">
        <v>46037</v>
      </c>
      <c r="M210">
        <v>26230</v>
      </c>
    </row>
    <row r="211" spans="2:13" x14ac:dyDescent="0.55000000000000004">
      <c r="B211" s="30">
        <v>46027</v>
      </c>
      <c r="C211">
        <v>3918</v>
      </c>
      <c r="G211" s="30">
        <v>44882</v>
      </c>
      <c r="H211">
        <v>-30</v>
      </c>
      <c r="L211" s="30">
        <v>46036</v>
      </c>
      <c r="M211">
        <v>26235</v>
      </c>
    </row>
    <row r="212" spans="2:13" x14ac:dyDescent="0.55000000000000004">
      <c r="B212" s="30">
        <v>46024</v>
      </c>
      <c r="C212">
        <v>3954</v>
      </c>
      <c r="G212" s="30">
        <v>44874</v>
      </c>
      <c r="H212">
        <v>-30</v>
      </c>
      <c r="L212" s="30">
        <v>46035</v>
      </c>
      <c r="M212">
        <v>26250</v>
      </c>
    </row>
    <row r="213" spans="2:13" x14ac:dyDescent="0.55000000000000004">
      <c r="B213" s="30">
        <v>46022</v>
      </c>
      <c r="C213">
        <v>3949</v>
      </c>
      <c r="G213" s="30">
        <v>44868</v>
      </c>
      <c r="H213">
        <v>-30</v>
      </c>
      <c r="L213" s="30">
        <v>46034</v>
      </c>
      <c r="M213">
        <v>26270</v>
      </c>
    </row>
    <row r="214" spans="2:13" x14ac:dyDescent="0.55000000000000004">
      <c r="B214" s="30">
        <v>46021</v>
      </c>
      <c r="C214">
        <v>3945</v>
      </c>
      <c r="G214" s="30">
        <v>44861</v>
      </c>
      <c r="H214">
        <v>-20</v>
      </c>
      <c r="L214" s="30">
        <v>46032</v>
      </c>
      <c r="M214">
        <v>26230</v>
      </c>
    </row>
    <row r="215" spans="2:13" x14ac:dyDescent="0.55000000000000004">
      <c r="B215" s="30">
        <v>46020</v>
      </c>
      <c r="C215">
        <v>3884</v>
      </c>
      <c r="G215" s="30">
        <v>44854</v>
      </c>
      <c r="H215">
        <v>-10</v>
      </c>
      <c r="L215" s="30">
        <v>46031</v>
      </c>
      <c r="M215">
        <v>26225</v>
      </c>
    </row>
    <row r="216" spans="2:13" x14ac:dyDescent="0.55000000000000004">
      <c r="B216" s="30">
        <v>46015</v>
      </c>
      <c r="C216">
        <v>3858</v>
      </c>
      <c r="G216" s="30">
        <v>44847</v>
      </c>
      <c r="H216">
        <v>-10</v>
      </c>
      <c r="L216" s="30">
        <v>46030</v>
      </c>
      <c r="M216">
        <v>26230</v>
      </c>
    </row>
    <row r="217" spans="2:13" x14ac:dyDescent="0.55000000000000004">
      <c r="B217" s="30">
        <v>46014</v>
      </c>
      <c r="C217">
        <v>3824</v>
      </c>
      <c r="G217" s="30">
        <v>44840</v>
      </c>
      <c r="H217">
        <v>-10</v>
      </c>
      <c r="L217" s="30">
        <v>46029</v>
      </c>
      <c r="M217">
        <v>26271</v>
      </c>
    </row>
    <row r="218" spans="2:13" x14ac:dyDescent="0.55000000000000004">
      <c r="B218" s="30">
        <v>46013</v>
      </c>
      <c r="C218">
        <v>3768</v>
      </c>
      <c r="G218" s="30">
        <v>44833</v>
      </c>
      <c r="H218">
        <v>-10</v>
      </c>
      <c r="L218" s="30">
        <v>46028</v>
      </c>
      <c r="M218">
        <v>26274</v>
      </c>
    </row>
    <row r="219" spans="2:13" x14ac:dyDescent="0.55000000000000004">
      <c r="B219" s="30">
        <v>46010</v>
      </c>
      <c r="C219">
        <v>3669</v>
      </c>
      <c r="G219" s="30">
        <v>44826</v>
      </c>
      <c r="H219">
        <v>-10</v>
      </c>
      <c r="L219" s="30">
        <v>46027</v>
      </c>
      <c r="M219">
        <v>26269</v>
      </c>
    </row>
    <row r="220" spans="2:13" x14ac:dyDescent="0.55000000000000004">
      <c r="B220" s="30">
        <v>46009</v>
      </c>
      <c r="C220">
        <v>3677</v>
      </c>
      <c r="G220" s="30">
        <v>44819</v>
      </c>
      <c r="H220">
        <v>-10</v>
      </c>
      <c r="L220" s="30">
        <v>46024</v>
      </c>
      <c r="M220">
        <v>26295</v>
      </c>
    </row>
    <row r="221" spans="2:13" x14ac:dyDescent="0.55000000000000004">
      <c r="B221" s="30">
        <v>46008</v>
      </c>
      <c r="C221">
        <v>3705</v>
      </c>
      <c r="G221" s="30">
        <v>44812</v>
      </c>
      <c r="H221">
        <v>-10</v>
      </c>
      <c r="L221" s="30">
        <v>46023</v>
      </c>
      <c r="M221">
        <v>26295</v>
      </c>
    </row>
    <row r="222" spans="2:13" x14ac:dyDescent="0.55000000000000004">
      <c r="B222" s="30">
        <v>46007</v>
      </c>
      <c r="C222">
        <v>3832</v>
      </c>
      <c r="G222" s="30">
        <v>44805</v>
      </c>
      <c r="H222">
        <v>50</v>
      </c>
      <c r="L222" s="30">
        <v>46022</v>
      </c>
      <c r="M222">
        <v>26295</v>
      </c>
    </row>
    <row r="223" spans="2:13" x14ac:dyDescent="0.55000000000000004">
      <c r="B223" s="30">
        <v>46006</v>
      </c>
      <c r="C223">
        <v>3923</v>
      </c>
      <c r="G223" s="30">
        <v>44798</v>
      </c>
      <c r="H223">
        <v>90</v>
      </c>
      <c r="L223" s="30">
        <v>46021</v>
      </c>
      <c r="M223">
        <v>26225</v>
      </c>
    </row>
    <row r="224" spans="2:13" x14ac:dyDescent="0.55000000000000004">
      <c r="B224" s="30">
        <v>46003</v>
      </c>
      <c r="C224">
        <v>3999</v>
      </c>
      <c r="G224" s="30">
        <v>44791</v>
      </c>
      <c r="H224">
        <v>90</v>
      </c>
      <c r="L224" s="30">
        <v>46020</v>
      </c>
      <c r="M224">
        <v>26245</v>
      </c>
    </row>
    <row r="225" spans="2:13" x14ac:dyDescent="0.55000000000000004">
      <c r="B225" s="30">
        <v>46002</v>
      </c>
      <c r="C225">
        <v>4107</v>
      </c>
      <c r="G225" s="30">
        <v>44784</v>
      </c>
      <c r="H225">
        <v>110</v>
      </c>
      <c r="L225" s="30">
        <v>46017</v>
      </c>
      <c r="M225">
        <v>26255</v>
      </c>
    </row>
    <row r="226" spans="2:13" x14ac:dyDescent="0.55000000000000004">
      <c r="B226" s="30">
        <v>46001</v>
      </c>
      <c r="C226">
        <v>4138</v>
      </c>
      <c r="G226" s="30">
        <v>44777</v>
      </c>
      <c r="H226">
        <v>100</v>
      </c>
      <c r="L226" s="30">
        <v>46016</v>
      </c>
      <c r="M226">
        <v>26277</v>
      </c>
    </row>
    <row r="227" spans="2:13" x14ac:dyDescent="0.55000000000000004">
      <c r="B227" s="30">
        <v>46000</v>
      </c>
      <c r="C227">
        <v>4109</v>
      </c>
      <c r="G227" s="30">
        <v>44770</v>
      </c>
      <c r="H227">
        <v>90</v>
      </c>
      <c r="L227" s="30">
        <v>46015</v>
      </c>
      <c r="M227">
        <v>26315</v>
      </c>
    </row>
    <row r="228" spans="2:13" x14ac:dyDescent="0.55000000000000004">
      <c r="B228" s="30">
        <v>45999</v>
      </c>
      <c r="C228">
        <v>4092</v>
      </c>
      <c r="G228" s="30">
        <v>44763</v>
      </c>
      <c r="H228">
        <v>60</v>
      </c>
      <c r="L228" s="30">
        <v>46014</v>
      </c>
      <c r="M228">
        <v>26326</v>
      </c>
    </row>
    <row r="229" spans="2:13" x14ac:dyDescent="0.55000000000000004">
      <c r="B229" s="30">
        <v>45996</v>
      </c>
      <c r="C229">
        <v>4178</v>
      </c>
      <c r="G229" s="30">
        <v>44755</v>
      </c>
      <c r="H229">
        <v>60</v>
      </c>
      <c r="L229" s="30">
        <v>46013</v>
      </c>
      <c r="M229">
        <v>26300</v>
      </c>
    </row>
    <row r="230" spans="2:13" x14ac:dyDescent="0.55000000000000004">
      <c r="B230" s="30">
        <v>45995</v>
      </c>
      <c r="C230">
        <v>4232</v>
      </c>
      <c r="G230" s="30">
        <v>44749</v>
      </c>
      <c r="H230">
        <v>10</v>
      </c>
      <c r="L230" s="30">
        <v>46010</v>
      </c>
      <c r="M230">
        <v>26265</v>
      </c>
    </row>
    <row r="231" spans="2:13" x14ac:dyDescent="0.55000000000000004">
      <c r="B231" s="30">
        <v>45994</v>
      </c>
      <c r="C231">
        <v>4212</v>
      </c>
      <c r="G231" s="30">
        <v>44742</v>
      </c>
      <c r="H231">
        <v>-30</v>
      </c>
      <c r="L231" s="30">
        <v>46009</v>
      </c>
      <c r="M231">
        <v>26285</v>
      </c>
    </row>
    <row r="232" spans="2:13" x14ac:dyDescent="0.55000000000000004">
      <c r="B232" s="30">
        <v>45993</v>
      </c>
      <c r="C232">
        <v>4219</v>
      </c>
      <c r="G232" s="30">
        <v>44735</v>
      </c>
      <c r="H232">
        <v>-60</v>
      </c>
      <c r="L232" s="30">
        <v>46008</v>
      </c>
      <c r="M232">
        <v>26300</v>
      </c>
    </row>
    <row r="233" spans="2:13" x14ac:dyDescent="0.55000000000000004">
      <c r="B233" s="30">
        <v>45992</v>
      </c>
      <c r="C233">
        <v>4338</v>
      </c>
      <c r="G233" s="30">
        <v>44728</v>
      </c>
      <c r="H233">
        <v>-60</v>
      </c>
      <c r="L233" s="30">
        <v>46007</v>
      </c>
      <c r="M233">
        <v>26310</v>
      </c>
    </row>
    <row r="234" spans="2:13" x14ac:dyDescent="0.55000000000000004">
      <c r="B234" s="30">
        <v>45989</v>
      </c>
      <c r="C234">
        <v>4413</v>
      </c>
      <c r="G234" s="30">
        <v>44720</v>
      </c>
      <c r="H234">
        <v>-100</v>
      </c>
      <c r="L234" s="30">
        <v>46006</v>
      </c>
      <c r="M234">
        <v>26290</v>
      </c>
    </row>
    <row r="235" spans="2:13" x14ac:dyDescent="0.55000000000000004">
      <c r="B235" s="30">
        <v>45988</v>
      </c>
      <c r="C235">
        <v>4389</v>
      </c>
      <c r="G235" s="30">
        <v>44714</v>
      </c>
      <c r="H235">
        <v>-100</v>
      </c>
      <c r="L235" s="30">
        <v>46003</v>
      </c>
      <c r="M235">
        <v>26303</v>
      </c>
    </row>
    <row r="236" spans="2:13" x14ac:dyDescent="0.55000000000000004">
      <c r="B236" s="30">
        <v>45987</v>
      </c>
      <c r="C236">
        <v>4377</v>
      </c>
      <c r="G236" s="30">
        <v>44706</v>
      </c>
      <c r="H236">
        <v>-90</v>
      </c>
      <c r="L236" s="30">
        <v>46002</v>
      </c>
      <c r="M236">
        <v>26300</v>
      </c>
    </row>
    <row r="237" spans="2:13" x14ac:dyDescent="0.55000000000000004">
      <c r="B237" s="30">
        <v>45986</v>
      </c>
      <c r="C237">
        <v>4414</v>
      </c>
      <c r="G237" s="30">
        <v>44700</v>
      </c>
      <c r="H237">
        <v>-100</v>
      </c>
      <c r="L237" s="30">
        <v>46001</v>
      </c>
      <c r="M237">
        <v>26355</v>
      </c>
    </row>
    <row r="238" spans="2:13" x14ac:dyDescent="0.55000000000000004">
      <c r="B238" s="30">
        <v>45985</v>
      </c>
      <c r="C238">
        <v>4453</v>
      </c>
      <c r="G238" s="30">
        <v>44693</v>
      </c>
      <c r="H238">
        <v>-120</v>
      </c>
      <c r="L238" s="30">
        <v>46000</v>
      </c>
      <c r="M238">
        <v>26340</v>
      </c>
    </row>
    <row r="239" spans="2:13" x14ac:dyDescent="0.55000000000000004">
      <c r="B239" s="30">
        <v>45982</v>
      </c>
      <c r="C239">
        <v>4506</v>
      </c>
      <c r="G239" s="30">
        <v>44686</v>
      </c>
      <c r="H239">
        <v>-120</v>
      </c>
      <c r="L239" s="30">
        <v>45999</v>
      </c>
      <c r="M239">
        <v>26320</v>
      </c>
    </row>
    <row r="240" spans="2:13" x14ac:dyDescent="0.55000000000000004">
      <c r="B240" s="30">
        <v>45981</v>
      </c>
      <c r="C240">
        <v>4631</v>
      </c>
      <c r="G240" s="30">
        <v>44679</v>
      </c>
      <c r="H240">
        <v>-110</v>
      </c>
      <c r="L240" s="30">
        <v>45996</v>
      </c>
      <c r="M240">
        <v>26320</v>
      </c>
    </row>
    <row r="241" spans="2:13" x14ac:dyDescent="0.55000000000000004">
      <c r="B241" s="30">
        <v>45980</v>
      </c>
      <c r="C241">
        <v>4516</v>
      </c>
      <c r="G241" s="30">
        <v>44671</v>
      </c>
      <c r="H241">
        <v>-120</v>
      </c>
      <c r="L241" s="30">
        <v>45995</v>
      </c>
      <c r="M241">
        <v>26340</v>
      </c>
    </row>
    <row r="242" spans="2:13" x14ac:dyDescent="0.55000000000000004">
      <c r="B242" s="30">
        <v>45979</v>
      </c>
      <c r="C242">
        <v>4573</v>
      </c>
      <c r="G242" s="30">
        <v>44665</v>
      </c>
      <c r="H242">
        <v>-130</v>
      </c>
      <c r="L242" s="30">
        <v>45994</v>
      </c>
      <c r="M242">
        <v>26345</v>
      </c>
    </row>
    <row r="243" spans="2:13" x14ac:dyDescent="0.55000000000000004">
      <c r="B243" s="30">
        <v>45978</v>
      </c>
      <c r="C243">
        <v>4483</v>
      </c>
      <c r="G243" s="30">
        <v>44658</v>
      </c>
      <c r="H243">
        <v>-130</v>
      </c>
      <c r="L243" s="30">
        <v>45993</v>
      </c>
      <c r="M243">
        <v>26340</v>
      </c>
    </row>
    <row r="244" spans="2:13" x14ac:dyDescent="0.55000000000000004">
      <c r="B244" s="30">
        <v>45975</v>
      </c>
      <c r="C244">
        <v>4223</v>
      </c>
      <c r="G244" s="30">
        <v>44651</v>
      </c>
      <c r="H244">
        <v>-130</v>
      </c>
      <c r="L244" s="30">
        <v>45992</v>
      </c>
      <c r="M244">
        <v>26340</v>
      </c>
    </row>
    <row r="245" spans="2:13" x14ac:dyDescent="0.55000000000000004">
      <c r="B245" s="30">
        <v>45974</v>
      </c>
      <c r="C245">
        <v>4343</v>
      </c>
      <c r="G245" s="30">
        <v>44644</v>
      </c>
      <c r="H245">
        <v>-150</v>
      </c>
      <c r="L245" s="30">
        <v>45989</v>
      </c>
      <c r="M245">
        <v>26330</v>
      </c>
    </row>
    <row r="246" spans="2:13" x14ac:dyDescent="0.55000000000000004">
      <c r="B246" s="30">
        <v>45973</v>
      </c>
      <c r="C246">
        <v>4366</v>
      </c>
      <c r="G246" s="30">
        <v>44637</v>
      </c>
      <c r="H246">
        <v>-150</v>
      </c>
      <c r="L246" s="30">
        <v>45988</v>
      </c>
      <c r="M246">
        <v>26372</v>
      </c>
    </row>
    <row r="247" spans="2:13" x14ac:dyDescent="0.55000000000000004">
      <c r="B247" s="30">
        <v>45972</v>
      </c>
      <c r="C247">
        <v>4618</v>
      </c>
      <c r="G247" s="30">
        <v>44630</v>
      </c>
      <c r="H247">
        <v>-150</v>
      </c>
      <c r="L247" s="30">
        <v>45987</v>
      </c>
      <c r="M247">
        <v>26350</v>
      </c>
    </row>
    <row r="248" spans="2:13" x14ac:dyDescent="0.55000000000000004">
      <c r="B248" s="30">
        <v>45971</v>
      </c>
      <c r="C248">
        <v>4623</v>
      </c>
      <c r="G248" s="30">
        <v>44623</v>
      </c>
      <c r="H248">
        <v>-200</v>
      </c>
      <c r="L248" s="30">
        <v>45986</v>
      </c>
      <c r="M248">
        <v>26343</v>
      </c>
    </row>
    <row r="249" spans="2:13" x14ac:dyDescent="0.55000000000000004">
      <c r="B249" s="30">
        <v>45968</v>
      </c>
      <c r="C249">
        <v>4648</v>
      </c>
      <c r="G249" s="30">
        <v>44616</v>
      </c>
      <c r="H249">
        <v>-200</v>
      </c>
      <c r="L249" s="30">
        <v>45985</v>
      </c>
      <c r="M249">
        <v>26350</v>
      </c>
    </row>
    <row r="250" spans="2:13" x14ac:dyDescent="0.55000000000000004">
      <c r="B250" s="30">
        <v>45967</v>
      </c>
      <c r="C250">
        <v>4530</v>
      </c>
      <c r="G250" s="30">
        <v>44609</v>
      </c>
      <c r="H250">
        <v>-210</v>
      </c>
      <c r="L250" s="30">
        <v>45982</v>
      </c>
      <c r="M250">
        <v>26349</v>
      </c>
    </row>
    <row r="251" spans="2:13" x14ac:dyDescent="0.55000000000000004">
      <c r="B251" s="30">
        <v>45966</v>
      </c>
      <c r="C251">
        <v>4686</v>
      </c>
      <c r="G251" s="30">
        <v>44602</v>
      </c>
      <c r="H251">
        <v>-200</v>
      </c>
      <c r="L251" s="30">
        <v>45981</v>
      </c>
      <c r="M251">
        <v>26366</v>
      </c>
    </row>
    <row r="252" spans="2:13" x14ac:dyDescent="0.55000000000000004">
      <c r="B252" s="30">
        <v>45965</v>
      </c>
      <c r="C252">
        <v>4681</v>
      </c>
      <c r="G252" s="30">
        <v>44595</v>
      </c>
      <c r="H252">
        <v>-200</v>
      </c>
      <c r="L252" s="30">
        <v>45980</v>
      </c>
      <c r="M252">
        <v>26376</v>
      </c>
    </row>
    <row r="253" spans="2:13" x14ac:dyDescent="0.55000000000000004">
      <c r="B253" s="30">
        <v>45964</v>
      </c>
      <c r="C253">
        <v>4693</v>
      </c>
      <c r="G253" s="30">
        <v>44588</v>
      </c>
      <c r="H253">
        <v>-220</v>
      </c>
      <c r="L253" s="30">
        <v>45979</v>
      </c>
      <c r="M253">
        <v>26378</v>
      </c>
    </row>
    <row r="254" spans="2:13" x14ac:dyDescent="0.55000000000000004">
      <c r="B254" s="30">
        <v>45961</v>
      </c>
      <c r="C254">
        <v>4540</v>
      </c>
      <c r="G254" s="30">
        <v>44581</v>
      </c>
      <c r="H254">
        <v>-250</v>
      </c>
      <c r="L254" s="30">
        <v>45978</v>
      </c>
      <c r="M254">
        <v>26335</v>
      </c>
    </row>
    <row r="255" spans="2:13" x14ac:dyDescent="0.55000000000000004">
      <c r="B255" s="30">
        <v>45960</v>
      </c>
      <c r="C255">
        <v>4641</v>
      </c>
      <c r="G255" s="30">
        <v>44574</v>
      </c>
      <c r="H255">
        <v>-280</v>
      </c>
      <c r="L255" s="30">
        <v>45975</v>
      </c>
      <c r="M255">
        <v>26325</v>
      </c>
    </row>
    <row r="256" spans="2:13" x14ac:dyDescent="0.55000000000000004">
      <c r="B256" s="30">
        <v>45959</v>
      </c>
      <c r="C256">
        <v>4610</v>
      </c>
      <c r="G256" s="30">
        <v>44567</v>
      </c>
      <c r="H256">
        <v>-280</v>
      </c>
      <c r="L256" s="30">
        <v>45974</v>
      </c>
      <c r="M256">
        <v>26350</v>
      </c>
    </row>
    <row r="257" spans="2:13" x14ac:dyDescent="0.55000000000000004">
      <c r="B257" s="30">
        <v>45958</v>
      </c>
      <c r="C257">
        <v>4465</v>
      </c>
      <c r="G257" s="30">
        <v>44560</v>
      </c>
      <c r="H257">
        <v>-150</v>
      </c>
      <c r="L257" s="30">
        <v>45973</v>
      </c>
      <c r="M257">
        <v>26325</v>
      </c>
    </row>
    <row r="258" spans="2:13" x14ac:dyDescent="0.55000000000000004">
      <c r="B258" s="30">
        <v>45957</v>
      </c>
      <c r="C258">
        <v>4450</v>
      </c>
      <c r="G258" s="30">
        <v>44553</v>
      </c>
      <c r="H258">
        <v>-150</v>
      </c>
      <c r="L258" s="30">
        <v>45972</v>
      </c>
      <c r="M258">
        <v>26280</v>
      </c>
    </row>
    <row r="259" spans="2:13" x14ac:dyDescent="0.55000000000000004">
      <c r="B259" s="30">
        <v>45954</v>
      </c>
      <c r="C259">
        <v>4557</v>
      </c>
      <c r="G259" s="30">
        <v>44546</v>
      </c>
      <c r="H259">
        <v>-150</v>
      </c>
      <c r="L259" s="30">
        <v>45971</v>
      </c>
      <c r="M259">
        <v>26270</v>
      </c>
    </row>
    <row r="260" spans="2:13" x14ac:dyDescent="0.55000000000000004">
      <c r="B260" s="30">
        <v>45953</v>
      </c>
      <c r="C260">
        <v>4521</v>
      </c>
      <c r="G260" s="30">
        <v>44539</v>
      </c>
      <c r="H260">
        <v>-100</v>
      </c>
      <c r="L260" s="30">
        <v>45968</v>
      </c>
      <c r="M260">
        <v>26280</v>
      </c>
    </row>
    <row r="261" spans="2:13" x14ac:dyDescent="0.55000000000000004">
      <c r="B261" s="30">
        <v>45952</v>
      </c>
      <c r="C261">
        <v>4694</v>
      </c>
      <c r="G261" s="30">
        <v>44532</v>
      </c>
      <c r="H261">
        <v>-100</v>
      </c>
      <c r="L261" s="30">
        <v>45967</v>
      </c>
      <c r="M261">
        <v>26285</v>
      </c>
    </row>
    <row r="262" spans="2:13" x14ac:dyDescent="0.55000000000000004">
      <c r="B262" s="30">
        <v>45951</v>
      </c>
      <c r="C262">
        <v>4574</v>
      </c>
      <c r="G262" s="30">
        <v>44525</v>
      </c>
      <c r="H262">
        <v>-100</v>
      </c>
      <c r="L262" s="30">
        <v>45966</v>
      </c>
      <c r="M262">
        <v>26300</v>
      </c>
    </row>
    <row r="263" spans="2:13" x14ac:dyDescent="0.55000000000000004">
      <c r="B263" s="30">
        <v>45950</v>
      </c>
      <c r="C263">
        <v>4464</v>
      </c>
      <c r="G263" s="30">
        <v>44518</v>
      </c>
      <c r="H263">
        <v>-100</v>
      </c>
      <c r="L263" s="30">
        <v>45965</v>
      </c>
      <c r="M263">
        <v>26295</v>
      </c>
    </row>
    <row r="264" spans="2:13" x14ac:dyDescent="0.55000000000000004">
      <c r="B264" s="30">
        <v>45947</v>
      </c>
      <c r="C264">
        <v>4478</v>
      </c>
      <c r="G264" s="30">
        <v>44510</v>
      </c>
      <c r="H264">
        <v>-120</v>
      </c>
      <c r="L264" s="30">
        <v>45964</v>
      </c>
      <c r="M264">
        <v>26309</v>
      </c>
    </row>
    <row r="265" spans="2:13" x14ac:dyDescent="0.55000000000000004">
      <c r="B265" s="30">
        <v>45946</v>
      </c>
      <c r="C265">
        <v>4524</v>
      </c>
      <c r="G265" s="30">
        <v>44504</v>
      </c>
      <c r="H265">
        <v>-150</v>
      </c>
      <c r="L265" s="30">
        <v>45961</v>
      </c>
      <c r="M265">
        <v>26310</v>
      </c>
    </row>
    <row r="266" spans="2:13" x14ac:dyDescent="0.55000000000000004">
      <c r="B266" s="30">
        <v>45945</v>
      </c>
      <c r="C266">
        <v>4453</v>
      </c>
      <c r="G266" s="30">
        <v>44497</v>
      </c>
      <c r="H266">
        <v>-170</v>
      </c>
      <c r="L266" s="30">
        <v>45960</v>
      </c>
      <c r="M266">
        <v>26315</v>
      </c>
    </row>
    <row r="267" spans="2:13" x14ac:dyDescent="0.55000000000000004">
      <c r="B267" s="30">
        <v>45944</v>
      </c>
      <c r="C267">
        <v>4420</v>
      </c>
      <c r="G267" s="30">
        <v>44490</v>
      </c>
      <c r="H267">
        <v>-150</v>
      </c>
      <c r="L267" s="30">
        <v>45959</v>
      </c>
      <c r="M267">
        <v>26335</v>
      </c>
    </row>
    <row r="268" spans="2:13" x14ac:dyDescent="0.55000000000000004">
      <c r="B268" s="30">
        <v>45943</v>
      </c>
      <c r="C268">
        <v>4467</v>
      </c>
      <c r="G268" s="30">
        <v>44483</v>
      </c>
      <c r="H268">
        <v>-130</v>
      </c>
      <c r="L268" s="30">
        <v>45958</v>
      </c>
      <c r="M268">
        <v>26308</v>
      </c>
    </row>
    <row r="269" spans="2:13" x14ac:dyDescent="0.55000000000000004">
      <c r="B269" s="30">
        <v>45940</v>
      </c>
      <c r="C269">
        <v>4391</v>
      </c>
      <c r="G269" s="30">
        <v>44476</v>
      </c>
      <c r="H269">
        <v>-130</v>
      </c>
      <c r="L269" s="30">
        <v>45957</v>
      </c>
      <c r="M269">
        <v>26280</v>
      </c>
    </row>
    <row r="270" spans="2:13" x14ac:dyDescent="0.55000000000000004">
      <c r="B270" s="30">
        <v>45939</v>
      </c>
      <c r="C270">
        <v>4472</v>
      </c>
      <c r="G270" s="30">
        <v>44469</v>
      </c>
      <c r="H270">
        <v>-120</v>
      </c>
      <c r="L270" s="30">
        <v>45954</v>
      </c>
      <c r="M270">
        <v>26280</v>
      </c>
    </row>
    <row r="271" spans="2:13" x14ac:dyDescent="0.55000000000000004">
      <c r="B271" s="30">
        <v>45938</v>
      </c>
      <c r="C271">
        <v>4484</v>
      </c>
      <c r="G271" s="30">
        <v>44462</v>
      </c>
      <c r="H271">
        <v>-120</v>
      </c>
      <c r="L271" s="30">
        <v>45953</v>
      </c>
      <c r="M271">
        <v>26312</v>
      </c>
    </row>
    <row r="272" spans="2:13" x14ac:dyDescent="0.55000000000000004">
      <c r="B272" s="30">
        <v>45937</v>
      </c>
      <c r="C272">
        <v>4388</v>
      </c>
      <c r="G272" s="30">
        <v>44455</v>
      </c>
      <c r="H272">
        <v>-120</v>
      </c>
      <c r="L272" s="30">
        <v>45952</v>
      </c>
      <c r="M272">
        <v>26345</v>
      </c>
    </row>
    <row r="273" spans="2:13" x14ac:dyDescent="0.55000000000000004">
      <c r="B273" s="30">
        <v>45936</v>
      </c>
      <c r="C273">
        <v>4464</v>
      </c>
      <c r="G273" s="30">
        <v>44448</v>
      </c>
      <c r="H273">
        <v>-100</v>
      </c>
      <c r="L273" s="30">
        <v>45951</v>
      </c>
      <c r="M273">
        <v>26333</v>
      </c>
    </row>
    <row r="274" spans="2:13" x14ac:dyDescent="0.55000000000000004">
      <c r="B274" s="30">
        <v>45933</v>
      </c>
      <c r="C274">
        <v>4522</v>
      </c>
      <c r="G274" s="30">
        <v>44441</v>
      </c>
      <c r="H274">
        <v>-90</v>
      </c>
      <c r="L274" s="30">
        <v>45950</v>
      </c>
      <c r="M274">
        <v>26330</v>
      </c>
    </row>
    <row r="275" spans="2:13" x14ac:dyDescent="0.55000000000000004">
      <c r="B275" s="30">
        <v>45932</v>
      </c>
      <c r="C275">
        <v>4325</v>
      </c>
      <c r="G275" s="30">
        <v>44434</v>
      </c>
      <c r="H275">
        <v>-90</v>
      </c>
      <c r="L275" s="30">
        <v>45947</v>
      </c>
      <c r="M275">
        <v>26337</v>
      </c>
    </row>
    <row r="276" spans="2:13" x14ac:dyDescent="0.55000000000000004">
      <c r="B276" s="30">
        <v>45931</v>
      </c>
      <c r="C276">
        <v>4388</v>
      </c>
      <c r="G276" s="30">
        <v>44427</v>
      </c>
      <c r="H276">
        <v>-20</v>
      </c>
      <c r="L276" s="30">
        <v>45946</v>
      </c>
      <c r="M276">
        <v>26310</v>
      </c>
    </row>
    <row r="277" spans="2:13" x14ac:dyDescent="0.55000000000000004">
      <c r="B277" s="30">
        <v>45930</v>
      </c>
      <c r="C277">
        <v>4186</v>
      </c>
      <c r="G277" s="30">
        <v>44420</v>
      </c>
      <c r="H277">
        <v>-20</v>
      </c>
      <c r="L277" s="30">
        <v>45945</v>
      </c>
      <c r="M277">
        <v>26315</v>
      </c>
    </row>
    <row r="278" spans="2:13" x14ac:dyDescent="0.55000000000000004">
      <c r="B278" s="30">
        <v>45929</v>
      </c>
      <c r="C278">
        <v>4174</v>
      </c>
      <c r="G278" s="30">
        <v>44412</v>
      </c>
      <c r="H278">
        <v>20</v>
      </c>
      <c r="L278" s="30">
        <v>45944</v>
      </c>
      <c r="M278">
        <v>26343</v>
      </c>
    </row>
    <row r="279" spans="2:13" x14ac:dyDescent="0.55000000000000004">
      <c r="B279" s="30">
        <v>45926</v>
      </c>
      <c r="C279">
        <v>4182</v>
      </c>
      <c r="G279" s="30">
        <v>44406</v>
      </c>
      <c r="H279">
        <v>20</v>
      </c>
      <c r="L279" s="30">
        <v>45943</v>
      </c>
      <c r="M279">
        <v>26325</v>
      </c>
    </row>
    <row r="280" spans="2:13" x14ac:dyDescent="0.55000000000000004">
      <c r="B280" s="30">
        <v>45925</v>
      </c>
      <c r="C280">
        <v>4082</v>
      </c>
      <c r="G280" s="30">
        <v>44399</v>
      </c>
      <c r="H280">
        <v>30</v>
      </c>
      <c r="L280" s="30">
        <v>45940</v>
      </c>
      <c r="M280">
        <v>26310</v>
      </c>
    </row>
    <row r="281" spans="2:13" x14ac:dyDescent="0.55000000000000004">
      <c r="B281" s="30">
        <v>45924</v>
      </c>
      <c r="C281">
        <v>4219</v>
      </c>
      <c r="G281" s="30">
        <v>44392</v>
      </c>
      <c r="H281">
        <v>40</v>
      </c>
      <c r="L281" s="30">
        <v>45939</v>
      </c>
      <c r="M281">
        <v>26346</v>
      </c>
    </row>
    <row r="282" spans="2:13" x14ac:dyDescent="0.55000000000000004">
      <c r="B282" s="30">
        <v>45923</v>
      </c>
      <c r="C282">
        <v>4118</v>
      </c>
      <c r="G282" s="30">
        <v>44385</v>
      </c>
      <c r="H282">
        <v>50</v>
      </c>
      <c r="L282" s="30">
        <v>45938</v>
      </c>
      <c r="M282">
        <v>26335</v>
      </c>
    </row>
    <row r="283" spans="2:13" x14ac:dyDescent="0.55000000000000004">
      <c r="B283" s="30">
        <v>45922</v>
      </c>
      <c r="C283">
        <v>4280</v>
      </c>
      <c r="G283" s="30">
        <v>44378</v>
      </c>
      <c r="H283">
        <v>50</v>
      </c>
      <c r="L283" s="30">
        <v>45937</v>
      </c>
      <c r="M283">
        <v>26340</v>
      </c>
    </row>
    <row r="284" spans="2:13" x14ac:dyDescent="0.55000000000000004">
      <c r="B284" s="30">
        <v>45919</v>
      </c>
      <c r="C284">
        <v>4135</v>
      </c>
      <c r="G284" s="30">
        <v>44371</v>
      </c>
      <c r="H284">
        <v>50</v>
      </c>
      <c r="L284" s="30">
        <v>45936</v>
      </c>
      <c r="M284">
        <v>26340</v>
      </c>
    </row>
    <row r="285" spans="2:13" x14ac:dyDescent="0.55000000000000004">
      <c r="B285" s="30">
        <v>45918</v>
      </c>
      <c r="C285">
        <v>4447</v>
      </c>
      <c r="G285" s="30">
        <v>44364</v>
      </c>
      <c r="H285">
        <v>75</v>
      </c>
      <c r="L285" s="30">
        <v>45933</v>
      </c>
      <c r="M285">
        <v>26380</v>
      </c>
    </row>
    <row r="286" spans="2:13" x14ac:dyDescent="0.55000000000000004">
      <c r="B286" s="30">
        <v>45917</v>
      </c>
      <c r="C286">
        <v>4450</v>
      </c>
      <c r="G286" s="30">
        <v>44357</v>
      </c>
      <c r="H286">
        <v>70</v>
      </c>
      <c r="L286" s="30">
        <v>45932</v>
      </c>
      <c r="M286">
        <v>26393</v>
      </c>
    </row>
    <row r="287" spans="2:13" x14ac:dyDescent="0.55000000000000004">
      <c r="B287" s="30">
        <v>45916</v>
      </c>
      <c r="C287">
        <v>4781</v>
      </c>
      <c r="G287" s="30">
        <v>44350</v>
      </c>
      <c r="H287">
        <v>80</v>
      </c>
      <c r="L287" s="30">
        <v>45931</v>
      </c>
      <c r="M287">
        <v>26405</v>
      </c>
    </row>
    <row r="288" spans="2:13" x14ac:dyDescent="0.55000000000000004">
      <c r="B288" s="30">
        <v>45915</v>
      </c>
      <c r="C288">
        <v>4842</v>
      </c>
      <c r="G288" s="30">
        <v>44343</v>
      </c>
      <c r="H288">
        <v>80</v>
      </c>
      <c r="L288" s="30">
        <v>45930</v>
      </c>
      <c r="M288">
        <v>26425</v>
      </c>
    </row>
    <row r="289" spans="2:13" x14ac:dyDescent="0.55000000000000004">
      <c r="B289" s="30">
        <v>45912</v>
      </c>
      <c r="C289">
        <v>4601</v>
      </c>
      <c r="G289" s="30">
        <v>44336</v>
      </c>
      <c r="H289">
        <v>100</v>
      </c>
      <c r="L289" s="30">
        <v>45929</v>
      </c>
      <c r="M289">
        <v>26414</v>
      </c>
    </row>
    <row r="290" spans="2:13" x14ac:dyDescent="0.55000000000000004">
      <c r="B290" s="30">
        <v>45911</v>
      </c>
      <c r="C290">
        <v>4521</v>
      </c>
      <c r="G290" s="30">
        <v>44328</v>
      </c>
      <c r="H290">
        <v>150</v>
      </c>
      <c r="L290" s="30">
        <v>45926</v>
      </c>
      <c r="M290">
        <v>26385</v>
      </c>
    </row>
    <row r="291" spans="2:13" x14ac:dyDescent="0.55000000000000004">
      <c r="B291" s="30">
        <v>45910</v>
      </c>
      <c r="C291">
        <v>4477</v>
      </c>
      <c r="G291" s="30">
        <v>44322</v>
      </c>
      <c r="H291">
        <v>150</v>
      </c>
      <c r="L291" s="30">
        <v>45925</v>
      </c>
      <c r="M291">
        <v>26380</v>
      </c>
    </row>
    <row r="292" spans="2:13" x14ac:dyDescent="0.55000000000000004">
      <c r="B292" s="30">
        <v>45909</v>
      </c>
      <c r="C292">
        <v>4371</v>
      </c>
      <c r="G292" s="30">
        <v>44315</v>
      </c>
      <c r="H292">
        <v>160</v>
      </c>
      <c r="L292" s="30">
        <v>45924</v>
      </c>
      <c r="M292">
        <v>26395</v>
      </c>
    </row>
    <row r="293" spans="2:13" x14ac:dyDescent="0.55000000000000004">
      <c r="B293" s="30">
        <v>45908</v>
      </c>
      <c r="C293">
        <v>4430</v>
      </c>
      <c r="G293" s="30">
        <v>44308</v>
      </c>
      <c r="H293">
        <v>160</v>
      </c>
      <c r="L293" s="30">
        <v>45923</v>
      </c>
      <c r="M293">
        <v>26395</v>
      </c>
    </row>
    <row r="294" spans="2:13" x14ac:dyDescent="0.55000000000000004">
      <c r="B294" s="30">
        <v>45905</v>
      </c>
      <c r="C294">
        <v>4309</v>
      </c>
      <c r="G294" s="30">
        <v>44301</v>
      </c>
      <c r="H294">
        <v>170</v>
      </c>
      <c r="L294" s="30">
        <v>45922</v>
      </c>
      <c r="M294">
        <v>26395</v>
      </c>
    </row>
    <row r="295" spans="2:13" x14ac:dyDescent="0.55000000000000004">
      <c r="B295" s="30">
        <v>45904</v>
      </c>
      <c r="C295">
        <v>4414</v>
      </c>
      <c r="G295" s="30">
        <v>44294</v>
      </c>
      <c r="H295">
        <v>170</v>
      </c>
      <c r="L295" s="30">
        <v>45919</v>
      </c>
      <c r="M295">
        <v>26355</v>
      </c>
    </row>
    <row r="296" spans="2:13" x14ac:dyDescent="0.55000000000000004">
      <c r="B296" s="30">
        <v>45903</v>
      </c>
      <c r="C296">
        <v>4454</v>
      </c>
      <c r="G296" s="30">
        <v>44287</v>
      </c>
      <c r="H296">
        <v>150</v>
      </c>
      <c r="L296" s="30">
        <v>45918</v>
      </c>
      <c r="M296">
        <v>26355</v>
      </c>
    </row>
    <row r="297" spans="2:13" x14ac:dyDescent="0.55000000000000004">
      <c r="B297" s="30">
        <v>45902</v>
      </c>
      <c r="C297">
        <v>4399</v>
      </c>
      <c r="G297" s="30">
        <v>44280</v>
      </c>
      <c r="H297">
        <v>130</v>
      </c>
      <c r="L297" s="30">
        <v>45917</v>
      </c>
      <c r="M297">
        <v>26340</v>
      </c>
    </row>
    <row r="298" spans="2:13" x14ac:dyDescent="0.55000000000000004">
      <c r="B298" s="30">
        <v>45901</v>
      </c>
      <c r="C298">
        <v>4628</v>
      </c>
      <c r="G298" s="30">
        <v>44273</v>
      </c>
      <c r="H298">
        <v>130</v>
      </c>
      <c r="L298" s="30">
        <v>45916</v>
      </c>
      <c r="M298">
        <v>26381</v>
      </c>
    </row>
    <row r="299" spans="2:13" x14ac:dyDescent="0.55000000000000004">
      <c r="B299" s="30">
        <v>45898</v>
      </c>
      <c r="C299">
        <v>4815</v>
      </c>
      <c r="G299" s="30">
        <v>44266</v>
      </c>
      <c r="H299">
        <v>130</v>
      </c>
      <c r="L299" s="30">
        <v>45915</v>
      </c>
      <c r="M299">
        <v>26355</v>
      </c>
    </row>
    <row r="300" spans="2:13" x14ac:dyDescent="0.55000000000000004">
      <c r="B300" s="30">
        <v>45897</v>
      </c>
      <c r="C300">
        <v>4808</v>
      </c>
      <c r="G300" s="30">
        <v>44259</v>
      </c>
      <c r="H300">
        <v>120</v>
      </c>
      <c r="L300" s="30">
        <v>45912</v>
      </c>
      <c r="M300">
        <v>26355</v>
      </c>
    </row>
    <row r="301" spans="2:13" x14ac:dyDescent="0.55000000000000004">
      <c r="B301" s="30">
        <v>45896</v>
      </c>
      <c r="C301">
        <v>4878</v>
      </c>
      <c r="G301" s="30">
        <v>44252</v>
      </c>
      <c r="H301">
        <v>130</v>
      </c>
      <c r="L301" s="30">
        <v>45911</v>
      </c>
      <c r="M301">
        <v>26375</v>
      </c>
    </row>
    <row r="302" spans="2:13" x14ac:dyDescent="0.55000000000000004">
      <c r="B302" s="30">
        <v>45895</v>
      </c>
      <c r="C302">
        <v>4690</v>
      </c>
      <c r="G302" s="30">
        <v>44245</v>
      </c>
      <c r="H302">
        <v>150</v>
      </c>
      <c r="L302" s="30">
        <v>45910</v>
      </c>
      <c r="M302">
        <v>26370</v>
      </c>
    </row>
    <row r="303" spans="2:13" x14ac:dyDescent="0.55000000000000004">
      <c r="B303" s="30">
        <v>45891</v>
      </c>
      <c r="C303">
        <v>4650</v>
      </c>
      <c r="G303" s="30">
        <v>44238</v>
      </c>
      <c r="H303">
        <v>150</v>
      </c>
      <c r="L303" s="30">
        <v>45909</v>
      </c>
      <c r="M303">
        <v>26360</v>
      </c>
    </row>
    <row r="304" spans="2:13" x14ac:dyDescent="0.55000000000000004">
      <c r="B304" s="30">
        <v>45890</v>
      </c>
      <c r="C304">
        <v>4520</v>
      </c>
      <c r="G304" s="30">
        <v>44231</v>
      </c>
      <c r="H304">
        <v>160</v>
      </c>
      <c r="L304" s="30">
        <v>45908</v>
      </c>
      <c r="M304">
        <v>26385</v>
      </c>
    </row>
    <row r="305" spans="2:13" x14ac:dyDescent="0.55000000000000004">
      <c r="B305" s="30">
        <v>45889</v>
      </c>
      <c r="C305">
        <v>4401</v>
      </c>
      <c r="G305" s="30">
        <v>44224</v>
      </c>
      <c r="H305">
        <v>200</v>
      </c>
      <c r="L305" s="30">
        <v>45905</v>
      </c>
      <c r="M305">
        <v>26375</v>
      </c>
    </row>
    <row r="306" spans="2:13" x14ac:dyDescent="0.55000000000000004">
      <c r="B306" s="30">
        <v>45888</v>
      </c>
      <c r="C306">
        <v>4268</v>
      </c>
      <c r="G306" s="30">
        <v>44217</v>
      </c>
      <c r="H306">
        <v>150</v>
      </c>
      <c r="L306" s="30">
        <v>45904</v>
      </c>
      <c r="M306">
        <v>26360</v>
      </c>
    </row>
    <row r="307" spans="2:13" x14ac:dyDescent="0.55000000000000004">
      <c r="B307" s="30">
        <v>45887</v>
      </c>
      <c r="C307">
        <v>4020</v>
      </c>
      <c r="G307" s="30">
        <v>44210</v>
      </c>
      <c r="H307">
        <v>150</v>
      </c>
      <c r="L307" s="30">
        <v>45903</v>
      </c>
      <c r="M307">
        <v>26365</v>
      </c>
    </row>
    <row r="308" spans="2:13" x14ac:dyDescent="0.55000000000000004">
      <c r="B308" s="30">
        <v>45884</v>
      </c>
      <c r="C308">
        <v>4067</v>
      </c>
      <c r="G308" s="30">
        <v>44202</v>
      </c>
      <c r="H308">
        <v>160</v>
      </c>
      <c r="L308" s="30">
        <v>45902</v>
      </c>
      <c r="M308">
        <v>26340</v>
      </c>
    </row>
    <row r="309" spans="2:13" x14ac:dyDescent="0.55000000000000004">
      <c r="B309" s="30">
        <v>45883</v>
      </c>
      <c r="C309">
        <v>3952</v>
      </c>
      <c r="G309" s="30">
        <v>44195</v>
      </c>
      <c r="H309">
        <v>180</v>
      </c>
      <c r="L309" s="30">
        <v>45901</v>
      </c>
      <c r="M309">
        <v>26340</v>
      </c>
    </row>
    <row r="310" spans="2:13" x14ac:dyDescent="0.55000000000000004">
      <c r="B310" s="30">
        <v>45882</v>
      </c>
      <c r="C310">
        <v>3799</v>
      </c>
      <c r="G310" s="30">
        <v>44188</v>
      </c>
      <c r="H310">
        <v>180</v>
      </c>
      <c r="L310" s="30">
        <v>45898</v>
      </c>
      <c r="M310">
        <v>26340</v>
      </c>
    </row>
    <row r="311" spans="2:13" x14ac:dyDescent="0.55000000000000004">
      <c r="B311" s="30">
        <v>45881</v>
      </c>
      <c r="C311">
        <v>3628</v>
      </c>
      <c r="G311" s="30">
        <v>44182</v>
      </c>
      <c r="H311">
        <v>175</v>
      </c>
      <c r="L311" s="30">
        <v>45897</v>
      </c>
      <c r="M311">
        <v>26360</v>
      </c>
    </row>
    <row r="312" spans="2:13" x14ac:dyDescent="0.55000000000000004">
      <c r="B312" s="30">
        <v>45880</v>
      </c>
      <c r="C312">
        <v>3664</v>
      </c>
      <c r="G312" s="30">
        <v>44175</v>
      </c>
      <c r="H312">
        <v>175</v>
      </c>
      <c r="L312" s="30">
        <v>45896</v>
      </c>
      <c r="M312">
        <v>26374</v>
      </c>
    </row>
    <row r="313" spans="2:13" x14ac:dyDescent="0.55000000000000004">
      <c r="B313" s="30">
        <v>45877</v>
      </c>
      <c r="C313">
        <v>3510</v>
      </c>
      <c r="G313" s="30">
        <v>44168</v>
      </c>
      <c r="H313">
        <v>170</v>
      </c>
      <c r="L313" s="30">
        <v>45895</v>
      </c>
      <c r="M313">
        <v>26340</v>
      </c>
    </row>
    <row r="314" spans="2:13" x14ac:dyDescent="0.55000000000000004">
      <c r="B314" s="30">
        <v>45876</v>
      </c>
      <c r="C314">
        <v>3377</v>
      </c>
      <c r="G314" s="30">
        <v>44161</v>
      </c>
      <c r="H314">
        <v>200</v>
      </c>
      <c r="L314" s="30">
        <v>45894</v>
      </c>
      <c r="M314">
        <v>26300</v>
      </c>
    </row>
    <row r="315" spans="2:13" x14ac:dyDescent="0.55000000000000004">
      <c r="B315" s="30">
        <v>45875</v>
      </c>
      <c r="C315">
        <v>3340</v>
      </c>
      <c r="G315" s="30">
        <v>44154</v>
      </c>
      <c r="H315">
        <v>180</v>
      </c>
      <c r="L315" s="30">
        <v>45891</v>
      </c>
      <c r="M315">
        <v>26300</v>
      </c>
    </row>
    <row r="316" spans="2:13" x14ac:dyDescent="0.55000000000000004">
      <c r="B316" s="30">
        <v>45874</v>
      </c>
      <c r="C316">
        <v>3359</v>
      </c>
      <c r="G316" s="30">
        <v>44147</v>
      </c>
      <c r="H316">
        <v>210</v>
      </c>
      <c r="L316" s="30">
        <v>45890</v>
      </c>
      <c r="M316">
        <v>26405</v>
      </c>
    </row>
    <row r="317" spans="2:13" x14ac:dyDescent="0.55000000000000004">
      <c r="B317" s="30">
        <v>45873</v>
      </c>
      <c r="C317">
        <v>3338</v>
      </c>
      <c r="G317" s="30">
        <v>44140</v>
      </c>
      <c r="H317">
        <v>210</v>
      </c>
      <c r="L317" s="30">
        <v>45889</v>
      </c>
      <c r="M317">
        <v>26370</v>
      </c>
    </row>
    <row r="318" spans="2:13" x14ac:dyDescent="0.55000000000000004">
      <c r="B318" s="30">
        <v>45870</v>
      </c>
      <c r="C318">
        <v>3259</v>
      </c>
      <c r="G318" s="30">
        <v>44133</v>
      </c>
      <c r="H318">
        <v>230</v>
      </c>
      <c r="L318" s="30">
        <v>45888</v>
      </c>
      <c r="M318">
        <v>26290</v>
      </c>
    </row>
    <row r="319" spans="2:13" x14ac:dyDescent="0.55000000000000004">
      <c r="B319" s="30">
        <v>45869</v>
      </c>
      <c r="C319">
        <v>3331</v>
      </c>
      <c r="G319" s="30">
        <v>44126</v>
      </c>
      <c r="H319">
        <v>230</v>
      </c>
      <c r="L319" s="30">
        <v>45887</v>
      </c>
      <c r="M319">
        <v>26275</v>
      </c>
    </row>
    <row r="320" spans="2:13" x14ac:dyDescent="0.55000000000000004">
      <c r="B320" s="30">
        <v>45868</v>
      </c>
      <c r="C320">
        <v>3345</v>
      </c>
      <c r="G320" s="30">
        <v>44119</v>
      </c>
      <c r="H320">
        <v>230</v>
      </c>
      <c r="L320" s="30">
        <v>45884</v>
      </c>
      <c r="M320">
        <v>26240</v>
      </c>
    </row>
    <row r="321" spans="2:13" x14ac:dyDescent="0.55000000000000004">
      <c r="B321" s="30">
        <v>45867</v>
      </c>
      <c r="C321">
        <v>3290</v>
      </c>
      <c r="G321" s="30">
        <v>44112</v>
      </c>
      <c r="H321">
        <v>220</v>
      </c>
      <c r="L321" s="30">
        <v>45883</v>
      </c>
      <c r="M321">
        <v>26230</v>
      </c>
    </row>
    <row r="322" spans="2:13" x14ac:dyDescent="0.55000000000000004">
      <c r="B322" s="30">
        <v>45866</v>
      </c>
      <c r="C322">
        <v>3308</v>
      </c>
      <c r="G322" s="30">
        <v>44105</v>
      </c>
      <c r="H322">
        <v>200</v>
      </c>
      <c r="L322" s="30">
        <v>45882</v>
      </c>
      <c r="M322">
        <v>26265</v>
      </c>
    </row>
    <row r="323" spans="2:13" x14ac:dyDescent="0.55000000000000004">
      <c r="B323" s="30">
        <v>45863</v>
      </c>
      <c r="C323">
        <v>3228</v>
      </c>
      <c r="G323" s="30">
        <v>44098</v>
      </c>
      <c r="H323">
        <v>190</v>
      </c>
      <c r="L323" s="30">
        <v>45881</v>
      </c>
      <c r="M323">
        <v>26245</v>
      </c>
    </row>
    <row r="324" spans="2:13" x14ac:dyDescent="0.55000000000000004">
      <c r="B324" s="30">
        <v>45862</v>
      </c>
      <c r="C324">
        <v>3349</v>
      </c>
      <c r="G324" s="30">
        <v>44091</v>
      </c>
      <c r="H324">
        <v>180</v>
      </c>
      <c r="L324" s="30">
        <v>45880</v>
      </c>
      <c r="M324">
        <v>26231</v>
      </c>
    </row>
    <row r="325" spans="2:13" x14ac:dyDescent="0.55000000000000004">
      <c r="B325" s="30">
        <v>45861</v>
      </c>
      <c r="C325">
        <v>3300</v>
      </c>
      <c r="G325" s="30">
        <v>44084</v>
      </c>
      <c r="H325">
        <v>160</v>
      </c>
      <c r="L325" s="30">
        <v>45877</v>
      </c>
      <c r="M325">
        <v>26200</v>
      </c>
    </row>
    <row r="326" spans="2:13" x14ac:dyDescent="0.55000000000000004">
      <c r="B326" s="30">
        <v>45860</v>
      </c>
      <c r="C326">
        <v>3289</v>
      </c>
      <c r="G326" s="30">
        <v>44077</v>
      </c>
      <c r="H326">
        <v>170</v>
      </c>
      <c r="L326" s="30">
        <v>45876</v>
      </c>
      <c r="M326">
        <v>26190</v>
      </c>
    </row>
    <row r="327" spans="2:13" x14ac:dyDescent="0.55000000000000004">
      <c r="B327" s="30">
        <v>45859</v>
      </c>
      <c r="C327">
        <v>3187</v>
      </c>
      <c r="G327" s="30">
        <v>44070</v>
      </c>
      <c r="H327">
        <v>200</v>
      </c>
      <c r="L327" s="30">
        <v>45875</v>
      </c>
      <c r="M327">
        <v>26200</v>
      </c>
    </row>
    <row r="328" spans="2:13" x14ac:dyDescent="0.55000000000000004">
      <c r="B328" s="30">
        <v>45856</v>
      </c>
      <c r="C328">
        <v>3348</v>
      </c>
      <c r="G328" s="30">
        <v>44063</v>
      </c>
      <c r="H328">
        <v>230</v>
      </c>
      <c r="L328" s="30">
        <v>45874</v>
      </c>
      <c r="M328">
        <v>26225</v>
      </c>
    </row>
    <row r="329" spans="2:13" x14ac:dyDescent="0.55000000000000004">
      <c r="B329" s="30">
        <v>45855</v>
      </c>
      <c r="C329">
        <v>3312</v>
      </c>
      <c r="G329" s="30">
        <v>44056</v>
      </c>
      <c r="H329">
        <v>270</v>
      </c>
      <c r="L329" s="30">
        <v>45873</v>
      </c>
      <c r="M329">
        <v>26174</v>
      </c>
    </row>
    <row r="330" spans="2:13" x14ac:dyDescent="0.55000000000000004">
      <c r="B330" s="30">
        <v>45854</v>
      </c>
      <c r="C330">
        <v>3427</v>
      </c>
      <c r="G330" s="30">
        <v>44049</v>
      </c>
      <c r="H330">
        <v>290</v>
      </c>
      <c r="L330" s="30">
        <v>45870</v>
      </c>
      <c r="M330">
        <v>26190</v>
      </c>
    </row>
    <row r="331" spans="2:13" x14ac:dyDescent="0.55000000000000004">
      <c r="B331" s="30">
        <v>45853</v>
      </c>
      <c r="C331">
        <v>3408</v>
      </c>
      <c r="G331" s="30">
        <v>44042</v>
      </c>
      <c r="H331">
        <v>290</v>
      </c>
      <c r="L331" s="30">
        <v>45869</v>
      </c>
      <c r="M331">
        <v>26197</v>
      </c>
    </row>
    <row r="332" spans="2:13" x14ac:dyDescent="0.55000000000000004">
      <c r="B332" s="30">
        <v>45852</v>
      </c>
      <c r="C332">
        <v>3519</v>
      </c>
      <c r="G332" s="30">
        <v>44034</v>
      </c>
      <c r="H332">
        <v>310</v>
      </c>
      <c r="L332" s="30">
        <v>45868</v>
      </c>
      <c r="M332">
        <v>26200</v>
      </c>
    </row>
    <row r="333" spans="2:13" x14ac:dyDescent="0.55000000000000004">
      <c r="B333" s="30">
        <v>45849</v>
      </c>
      <c r="C333">
        <v>3216</v>
      </c>
      <c r="G333" s="30">
        <v>44027</v>
      </c>
      <c r="H333">
        <v>310</v>
      </c>
      <c r="L333" s="30">
        <v>45867</v>
      </c>
      <c r="M333">
        <v>26195</v>
      </c>
    </row>
    <row r="334" spans="2:13" x14ac:dyDescent="0.55000000000000004">
      <c r="B334" s="30">
        <v>45848</v>
      </c>
      <c r="C334">
        <v>3320</v>
      </c>
      <c r="G334" s="30">
        <v>44021</v>
      </c>
      <c r="H334">
        <v>320</v>
      </c>
      <c r="L334" s="30">
        <v>45866</v>
      </c>
      <c r="M334">
        <v>26165</v>
      </c>
    </row>
    <row r="335" spans="2:13" x14ac:dyDescent="0.55000000000000004">
      <c r="B335" s="30">
        <v>45847</v>
      </c>
      <c r="C335">
        <v>3470</v>
      </c>
      <c r="G335" s="30">
        <v>44014</v>
      </c>
      <c r="H335">
        <v>310</v>
      </c>
      <c r="L335" s="30">
        <v>45863</v>
      </c>
      <c r="M335">
        <v>26120</v>
      </c>
    </row>
    <row r="336" spans="2:13" x14ac:dyDescent="0.55000000000000004">
      <c r="B336" s="30">
        <v>45846</v>
      </c>
      <c r="C336">
        <v>3568</v>
      </c>
      <c r="G336" s="30">
        <v>44007</v>
      </c>
      <c r="H336">
        <v>300</v>
      </c>
      <c r="L336" s="30">
        <v>45862</v>
      </c>
      <c r="M336">
        <v>26110</v>
      </c>
    </row>
    <row r="337" spans="2:13" x14ac:dyDescent="0.55000000000000004">
      <c r="B337" s="30">
        <v>45845</v>
      </c>
      <c r="C337">
        <v>3526</v>
      </c>
      <c r="G337" s="30">
        <v>44000</v>
      </c>
      <c r="H337">
        <v>300</v>
      </c>
      <c r="L337" s="30">
        <v>45861</v>
      </c>
      <c r="M337">
        <v>26125</v>
      </c>
    </row>
    <row r="338" spans="2:13" x14ac:dyDescent="0.55000000000000004">
      <c r="B338" s="30">
        <v>45842</v>
      </c>
      <c r="C338">
        <v>3677</v>
      </c>
      <c r="G338" s="30">
        <v>43993</v>
      </c>
      <c r="H338">
        <v>280</v>
      </c>
      <c r="L338" s="30">
        <v>45860</v>
      </c>
      <c r="M338">
        <v>26120</v>
      </c>
    </row>
    <row r="339" spans="2:13" x14ac:dyDescent="0.55000000000000004">
      <c r="B339" s="30">
        <v>45841</v>
      </c>
      <c r="C339">
        <v>3627</v>
      </c>
      <c r="G339" s="30">
        <v>43986</v>
      </c>
      <c r="H339">
        <v>280</v>
      </c>
      <c r="L339" s="30">
        <v>45859</v>
      </c>
      <c r="M339">
        <v>26130</v>
      </c>
    </row>
    <row r="340" spans="2:13" x14ac:dyDescent="0.55000000000000004">
      <c r="B340" s="30">
        <v>45840</v>
      </c>
      <c r="C340">
        <v>3602</v>
      </c>
      <c r="G340" s="30">
        <v>43979</v>
      </c>
      <c r="H340">
        <v>280</v>
      </c>
      <c r="L340" s="30">
        <v>45856</v>
      </c>
      <c r="M340">
        <v>26140</v>
      </c>
    </row>
    <row r="341" spans="2:13" x14ac:dyDescent="0.55000000000000004">
      <c r="B341" s="30">
        <v>45839</v>
      </c>
      <c r="C341">
        <v>3660</v>
      </c>
      <c r="G341" s="30">
        <v>43971</v>
      </c>
      <c r="H341">
        <v>280</v>
      </c>
      <c r="L341" s="30">
        <v>45855</v>
      </c>
      <c r="M341">
        <v>26135</v>
      </c>
    </row>
    <row r="342" spans="2:13" x14ac:dyDescent="0.55000000000000004">
      <c r="B342" s="30">
        <v>45838</v>
      </c>
      <c r="C342">
        <v>3620</v>
      </c>
      <c r="G342" s="30">
        <v>43965</v>
      </c>
      <c r="H342">
        <v>270</v>
      </c>
      <c r="L342" s="30">
        <v>45854</v>
      </c>
      <c r="M342">
        <v>26140</v>
      </c>
    </row>
    <row r="343" spans="2:13" x14ac:dyDescent="0.55000000000000004">
      <c r="B343" s="30">
        <v>45835</v>
      </c>
      <c r="C343">
        <v>3661</v>
      </c>
      <c r="G343" s="30">
        <v>43958</v>
      </c>
      <c r="H343">
        <v>270</v>
      </c>
      <c r="L343" s="30">
        <v>45853</v>
      </c>
      <c r="M343">
        <v>26120</v>
      </c>
    </row>
    <row r="344" spans="2:13" x14ac:dyDescent="0.55000000000000004">
      <c r="B344" s="30">
        <v>45834</v>
      </c>
      <c r="C344">
        <v>3665</v>
      </c>
      <c r="G344" s="30">
        <v>43951</v>
      </c>
      <c r="H344">
        <v>270</v>
      </c>
      <c r="L344" s="30">
        <v>45852</v>
      </c>
      <c r="M344">
        <v>26100</v>
      </c>
    </row>
    <row r="345" spans="2:13" x14ac:dyDescent="0.55000000000000004">
      <c r="B345" s="30">
        <v>45833</v>
      </c>
      <c r="C345">
        <v>3524</v>
      </c>
      <c r="G345" s="30">
        <v>43944</v>
      </c>
      <c r="H345">
        <v>270</v>
      </c>
      <c r="L345" s="30">
        <v>45849</v>
      </c>
      <c r="M345">
        <v>26108</v>
      </c>
    </row>
    <row r="346" spans="2:13" x14ac:dyDescent="0.55000000000000004">
      <c r="B346" s="30">
        <v>45832</v>
      </c>
      <c r="C346">
        <v>3682</v>
      </c>
      <c r="G346" s="30">
        <v>43937</v>
      </c>
      <c r="H346">
        <v>240</v>
      </c>
      <c r="L346" s="30">
        <v>45848</v>
      </c>
      <c r="M346">
        <v>26113</v>
      </c>
    </row>
    <row r="347" spans="2:13" x14ac:dyDescent="0.55000000000000004">
      <c r="B347" s="30">
        <v>45831</v>
      </c>
      <c r="C347">
        <v>3904</v>
      </c>
      <c r="G347" s="30">
        <v>43930</v>
      </c>
      <c r="H347">
        <v>220</v>
      </c>
      <c r="L347" s="30">
        <v>45847</v>
      </c>
      <c r="M347">
        <v>26138</v>
      </c>
    </row>
    <row r="348" spans="2:13" x14ac:dyDescent="0.55000000000000004">
      <c r="B348" s="30">
        <v>45828</v>
      </c>
      <c r="C348">
        <v>3737</v>
      </c>
      <c r="G348" s="30">
        <v>43923</v>
      </c>
      <c r="H348">
        <v>210</v>
      </c>
      <c r="L348" s="30">
        <v>45846</v>
      </c>
      <c r="M348">
        <v>26110</v>
      </c>
    </row>
    <row r="349" spans="2:13" x14ac:dyDescent="0.55000000000000004">
      <c r="B349" s="30">
        <v>45827</v>
      </c>
      <c r="C349">
        <v>3887</v>
      </c>
      <c r="G349" s="30">
        <v>43916</v>
      </c>
      <c r="H349">
        <v>190</v>
      </c>
      <c r="L349" s="30">
        <v>45845</v>
      </c>
      <c r="M349">
        <v>26120</v>
      </c>
    </row>
    <row r="350" spans="2:13" x14ac:dyDescent="0.55000000000000004">
      <c r="B350" s="30">
        <v>45826</v>
      </c>
      <c r="C350">
        <v>3891</v>
      </c>
      <c r="G350" s="30">
        <v>43909</v>
      </c>
      <c r="H350">
        <v>240</v>
      </c>
      <c r="L350" s="30">
        <v>45842</v>
      </c>
      <c r="M350">
        <v>26158</v>
      </c>
    </row>
    <row r="351" spans="2:13" x14ac:dyDescent="0.55000000000000004">
      <c r="B351" s="30">
        <v>45825</v>
      </c>
      <c r="C351">
        <v>4155</v>
      </c>
      <c r="G351" s="30">
        <v>43902</v>
      </c>
      <c r="H351">
        <v>200</v>
      </c>
      <c r="L351" s="30">
        <v>45841</v>
      </c>
      <c r="M351">
        <v>26175</v>
      </c>
    </row>
    <row r="352" spans="2:13" x14ac:dyDescent="0.55000000000000004">
      <c r="B352" s="30">
        <v>45824</v>
      </c>
      <c r="C352">
        <v>4192</v>
      </c>
      <c r="G352" s="30">
        <v>43895</v>
      </c>
      <c r="H352">
        <v>190</v>
      </c>
      <c r="L352" s="30">
        <v>45840</v>
      </c>
      <c r="M352">
        <v>26150</v>
      </c>
    </row>
    <row r="353" spans="2:13" x14ac:dyDescent="0.55000000000000004">
      <c r="B353" s="30">
        <v>45821</v>
      </c>
      <c r="C353">
        <v>4287</v>
      </c>
      <c r="G353" s="30">
        <v>43888</v>
      </c>
      <c r="H353">
        <v>190</v>
      </c>
      <c r="L353" s="30">
        <v>45839</v>
      </c>
      <c r="M353">
        <v>26110</v>
      </c>
    </row>
    <row r="354" spans="2:13" x14ac:dyDescent="0.55000000000000004">
      <c r="B354" s="30">
        <v>45820</v>
      </c>
      <c r="C354">
        <v>4314</v>
      </c>
      <c r="G354" s="30">
        <v>43881</v>
      </c>
      <c r="H354">
        <v>210</v>
      </c>
      <c r="L354" s="30">
        <v>45838</v>
      </c>
      <c r="M354">
        <v>26118</v>
      </c>
    </row>
    <row r="355" spans="2:13" x14ac:dyDescent="0.55000000000000004">
      <c r="B355" s="30">
        <v>45819</v>
      </c>
      <c r="C355">
        <v>4291</v>
      </c>
      <c r="G355" s="30">
        <v>43874</v>
      </c>
      <c r="H355">
        <v>200</v>
      </c>
      <c r="L355" s="30">
        <v>45835</v>
      </c>
      <c r="M355">
        <v>26090</v>
      </c>
    </row>
    <row r="356" spans="2:13" x14ac:dyDescent="0.55000000000000004">
      <c r="B356" s="30">
        <v>45818</v>
      </c>
      <c r="C356">
        <v>4317</v>
      </c>
      <c r="G356" s="30">
        <v>43867</v>
      </c>
      <c r="H356">
        <v>170</v>
      </c>
      <c r="L356" s="30">
        <v>45834</v>
      </c>
      <c r="M356">
        <v>26100</v>
      </c>
    </row>
    <row r="357" spans="2:13" x14ac:dyDescent="0.55000000000000004">
      <c r="B357" s="30">
        <v>45817</v>
      </c>
      <c r="C357">
        <v>4451</v>
      </c>
      <c r="G357" s="30">
        <v>43861</v>
      </c>
      <c r="H357">
        <v>150</v>
      </c>
      <c r="L357" s="30">
        <v>45833</v>
      </c>
      <c r="M357">
        <v>26150</v>
      </c>
    </row>
    <row r="358" spans="2:13" x14ac:dyDescent="0.55000000000000004">
      <c r="B358" s="30">
        <v>45814</v>
      </c>
      <c r="C358">
        <v>4339</v>
      </c>
      <c r="G358" s="30">
        <v>43853</v>
      </c>
      <c r="H358">
        <v>160</v>
      </c>
      <c r="L358" s="30">
        <v>45832</v>
      </c>
      <c r="M358">
        <v>26150</v>
      </c>
    </row>
    <row r="359" spans="2:13" x14ac:dyDescent="0.55000000000000004">
      <c r="B359" s="30">
        <v>45813</v>
      </c>
      <c r="C359">
        <v>4445</v>
      </c>
      <c r="G359" s="30">
        <v>43846</v>
      </c>
      <c r="H359">
        <v>130</v>
      </c>
      <c r="L359" s="30">
        <v>45831</v>
      </c>
      <c r="M359">
        <v>26190</v>
      </c>
    </row>
    <row r="360" spans="2:13" x14ac:dyDescent="0.55000000000000004">
      <c r="B360" s="30">
        <v>45812</v>
      </c>
      <c r="C360">
        <v>4345</v>
      </c>
      <c r="G360" s="30">
        <v>43839</v>
      </c>
      <c r="H360">
        <v>130</v>
      </c>
      <c r="L360" s="30">
        <v>45828</v>
      </c>
      <c r="M360">
        <v>26119</v>
      </c>
    </row>
    <row r="361" spans="2:13" x14ac:dyDescent="0.55000000000000004">
      <c r="B361" s="30">
        <v>45811</v>
      </c>
      <c r="C361">
        <v>4337</v>
      </c>
      <c r="G361" s="30">
        <v>43832</v>
      </c>
      <c r="H361">
        <v>140</v>
      </c>
      <c r="L361" s="30">
        <v>45827</v>
      </c>
      <c r="M361">
        <v>26123</v>
      </c>
    </row>
    <row r="362" spans="2:13" x14ac:dyDescent="0.55000000000000004">
      <c r="B362" s="30">
        <v>45810</v>
      </c>
      <c r="C362">
        <v>4405</v>
      </c>
      <c r="G362" s="30">
        <v>43825</v>
      </c>
      <c r="H362">
        <v>150</v>
      </c>
      <c r="L362" s="30">
        <v>45826</v>
      </c>
      <c r="M362">
        <v>26092</v>
      </c>
    </row>
    <row r="363" spans="2:13" x14ac:dyDescent="0.55000000000000004">
      <c r="B363" s="30">
        <v>45807</v>
      </c>
      <c r="C363">
        <v>4463</v>
      </c>
      <c r="G363" s="30">
        <v>43818</v>
      </c>
      <c r="H363">
        <v>150</v>
      </c>
      <c r="L363" s="30">
        <v>45825</v>
      </c>
      <c r="M363">
        <v>26072</v>
      </c>
    </row>
    <row r="364" spans="2:13" x14ac:dyDescent="0.55000000000000004">
      <c r="B364" s="30">
        <v>45806</v>
      </c>
      <c r="C364">
        <v>4530</v>
      </c>
      <c r="G364" s="30">
        <v>43811</v>
      </c>
      <c r="H364">
        <v>160</v>
      </c>
      <c r="L364" s="30">
        <v>45824</v>
      </c>
      <c r="M364">
        <v>26030</v>
      </c>
    </row>
    <row r="365" spans="2:13" x14ac:dyDescent="0.55000000000000004">
      <c r="B365" s="30">
        <v>45805</v>
      </c>
      <c r="C365">
        <v>4566</v>
      </c>
      <c r="G365" s="30">
        <v>43804</v>
      </c>
      <c r="H365">
        <v>160</v>
      </c>
      <c r="L365" s="30">
        <v>45821</v>
      </c>
      <c r="M365">
        <v>26050</v>
      </c>
    </row>
    <row r="366" spans="2:13" x14ac:dyDescent="0.55000000000000004">
      <c r="B366" s="30">
        <v>45804</v>
      </c>
      <c r="C366">
        <v>4692</v>
      </c>
      <c r="G366" s="30">
        <v>43797</v>
      </c>
      <c r="H366">
        <v>180</v>
      </c>
      <c r="L366" s="30">
        <v>45820</v>
      </c>
      <c r="M366">
        <v>26020</v>
      </c>
    </row>
    <row r="367" spans="2:13" x14ac:dyDescent="0.55000000000000004">
      <c r="B367" s="30">
        <v>45800</v>
      </c>
      <c r="C367">
        <v>4790</v>
      </c>
      <c r="G367" s="30">
        <v>43790</v>
      </c>
      <c r="H367">
        <v>200</v>
      </c>
      <c r="L367" s="30">
        <v>45819</v>
      </c>
      <c r="M367">
        <v>26010</v>
      </c>
    </row>
    <row r="368" spans="2:13" x14ac:dyDescent="0.55000000000000004">
      <c r="B368" s="30">
        <v>45799</v>
      </c>
      <c r="C368">
        <v>4787</v>
      </c>
      <c r="G368" s="30">
        <v>43783</v>
      </c>
      <c r="H368">
        <v>200</v>
      </c>
      <c r="L368" s="30">
        <v>45818</v>
      </c>
      <c r="M368">
        <v>25990</v>
      </c>
    </row>
    <row r="369" spans="2:13" x14ac:dyDescent="0.55000000000000004">
      <c r="B369" s="30">
        <v>45798</v>
      </c>
      <c r="C369">
        <v>4903</v>
      </c>
      <c r="G369" s="30">
        <v>43776</v>
      </c>
      <c r="H369">
        <v>200</v>
      </c>
      <c r="L369" s="30">
        <v>45817</v>
      </c>
      <c r="M369">
        <v>26025</v>
      </c>
    </row>
    <row r="370" spans="2:13" x14ac:dyDescent="0.55000000000000004">
      <c r="B370" s="30">
        <v>45797</v>
      </c>
      <c r="C370">
        <v>4903</v>
      </c>
      <c r="G370" s="30">
        <v>43769</v>
      </c>
      <c r="H370">
        <v>200</v>
      </c>
      <c r="L370" s="30">
        <v>45814</v>
      </c>
      <c r="M370">
        <v>26047</v>
      </c>
    </row>
    <row r="371" spans="2:13" x14ac:dyDescent="0.55000000000000004">
      <c r="B371" s="30">
        <v>45796</v>
      </c>
      <c r="C371">
        <v>4973</v>
      </c>
      <c r="G371" s="30">
        <v>43762</v>
      </c>
      <c r="H371">
        <v>230</v>
      </c>
      <c r="L371" s="30">
        <v>45813</v>
      </c>
      <c r="M371">
        <v>26056</v>
      </c>
    </row>
    <row r="372" spans="2:13" x14ac:dyDescent="0.55000000000000004">
      <c r="B372" s="30">
        <v>45793</v>
      </c>
      <c r="C372">
        <v>4865</v>
      </c>
      <c r="G372" s="30">
        <v>43748</v>
      </c>
      <c r="H372">
        <v>190</v>
      </c>
      <c r="L372" s="30">
        <v>45812</v>
      </c>
      <c r="M372">
        <v>26071</v>
      </c>
    </row>
    <row r="373" spans="2:13" x14ac:dyDescent="0.55000000000000004">
      <c r="B373" s="30">
        <v>45792</v>
      </c>
      <c r="C373">
        <v>4971</v>
      </c>
      <c r="G373" s="30">
        <v>43741</v>
      </c>
      <c r="H373">
        <v>180</v>
      </c>
      <c r="L373" s="30">
        <v>45811</v>
      </c>
      <c r="M373">
        <v>26038</v>
      </c>
    </row>
    <row r="374" spans="2:13" x14ac:dyDescent="0.55000000000000004">
      <c r="B374" s="30">
        <v>45791</v>
      </c>
      <c r="C374">
        <v>5010</v>
      </c>
      <c r="G374" s="30">
        <v>43734</v>
      </c>
      <c r="H374">
        <v>230</v>
      </c>
      <c r="L374" s="30">
        <v>45810</v>
      </c>
      <c r="M374">
        <v>26022</v>
      </c>
    </row>
    <row r="375" spans="2:13" x14ac:dyDescent="0.55000000000000004">
      <c r="B375" s="30">
        <v>45790</v>
      </c>
      <c r="C375">
        <v>5129</v>
      </c>
      <c r="G375" s="30">
        <v>43727</v>
      </c>
      <c r="H375">
        <v>250</v>
      </c>
      <c r="L375" s="30">
        <v>45807</v>
      </c>
      <c r="M375">
        <v>26019</v>
      </c>
    </row>
    <row r="376" spans="2:13" x14ac:dyDescent="0.55000000000000004">
      <c r="B376" s="30">
        <v>45789</v>
      </c>
      <c r="C376">
        <v>5052</v>
      </c>
      <c r="G376" s="30">
        <v>43720</v>
      </c>
      <c r="H376">
        <v>230</v>
      </c>
      <c r="L376" s="30">
        <v>45806</v>
      </c>
      <c r="M376">
        <v>25996</v>
      </c>
    </row>
    <row r="377" spans="2:13" x14ac:dyDescent="0.55000000000000004">
      <c r="B377" s="30">
        <v>45786</v>
      </c>
      <c r="C377">
        <v>5226</v>
      </c>
      <c r="G377" s="30">
        <v>43713</v>
      </c>
      <c r="H377">
        <v>230</v>
      </c>
      <c r="L377" s="30">
        <v>45805</v>
      </c>
      <c r="M377">
        <v>25950</v>
      </c>
    </row>
    <row r="378" spans="2:13" x14ac:dyDescent="0.55000000000000004">
      <c r="B378" s="30">
        <v>45785</v>
      </c>
      <c r="C378">
        <v>5265</v>
      </c>
      <c r="G378" s="30">
        <v>43705</v>
      </c>
      <c r="H378">
        <v>230</v>
      </c>
      <c r="L378" s="30">
        <v>45804</v>
      </c>
      <c r="M378">
        <v>25903</v>
      </c>
    </row>
    <row r="379" spans="2:13" x14ac:dyDescent="0.55000000000000004">
      <c r="B379" s="30">
        <v>45784</v>
      </c>
      <c r="C379">
        <v>5239</v>
      </c>
      <c r="G379" s="30">
        <v>43691</v>
      </c>
      <c r="H379">
        <v>240</v>
      </c>
      <c r="L379" s="30">
        <v>45803</v>
      </c>
      <c r="M379">
        <v>25897</v>
      </c>
    </row>
    <row r="380" spans="2:13" x14ac:dyDescent="0.55000000000000004">
      <c r="B380" s="30">
        <v>45783</v>
      </c>
      <c r="C380">
        <v>5256</v>
      </c>
      <c r="G380" s="30">
        <v>43685</v>
      </c>
      <c r="H380">
        <v>230</v>
      </c>
      <c r="L380" s="30">
        <v>45800</v>
      </c>
      <c r="M380">
        <v>25946</v>
      </c>
    </row>
    <row r="381" spans="2:13" x14ac:dyDescent="0.55000000000000004">
      <c r="B381" s="30">
        <v>45779</v>
      </c>
      <c r="C381">
        <v>5291</v>
      </c>
      <c r="G381" s="30">
        <v>43678</v>
      </c>
      <c r="H381">
        <v>190</v>
      </c>
      <c r="L381" s="30">
        <v>45799</v>
      </c>
      <c r="M381">
        <v>25973</v>
      </c>
    </row>
    <row r="382" spans="2:13" x14ac:dyDescent="0.55000000000000004">
      <c r="B382" s="30">
        <v>45778</v>
      </c>
      <c r="C382">
        <v>5126</v>
      </c>
      <c r="G382" s="30">
        <v>43671</v>
      </c>
      <c r="H382">
        <v>170</v>
      </c>
      <c r="L382" s="30">
        <v>45798</v>
      </c>
      <c r="M382">
        <v>25970</v>
      </c>
    </row>
    <row r="383" spans="2:13" x14ac:dyDescent="0.55000000000000004">
      <c r="B383" s="30">
        <v>45777</v>
      </c>
      <c r="C383">
        <v>5369</v>
      </c>
      <c r="G383" s="30">
        <v>43664</v>
      </c>
      <c r="H383">
        <v>170</v>
      </c>
      <c r="L383" s="30">
        <v>45797</v>
      </c>
      <c r="M383">
        <v>25950</v>
      </c>
    </row>
    <row r="384" spans="2:13" x14ac:dyDescent="0.55000000000000004">
      <c r="B384" s="30">
        <v>45776</v>
      </c>
      <c r="C384">
        <v>5298</v>
      </c>
      <c r="G384" s="30">
        <v>43657</v>
      </c>
      <c r="H384">
        <v>170</v>
      </c>
      <c r="L384" s="30">
        <v>45796</v>
      </c>
      <c r="M384">
        <v>25932</v>
      </c>
    </row>
    <row r="385" spans="2:13" x14ac:dyDescent="0.55000000000000004">
      <c r="B385" s="30">
        <v>45775</v>
      </c>
      <c r="C385">
        <v>5413</v>
      </c>
      <c r="G385" s="30">
        <v>43650</v>
      </c>
      <c r="H385">
        <v>170</v>
      </c>
      <c r="L385" s="30">
        <v>45793</v>
      </c>
      <c r="M385">
        <v>25917</v>
      </c>
    </row>
    <row r="386" spans="2:13" x14ac:dyDescent="0.55000000000000004">
      <c r="B386" s="30">
        <v>45772</v>
      </c>
      <c r="C386">
        <v>5415</v>
      </c>
      <c r="G386" s="30">
        <v>43643</v>
      </c>
      <c r="H386">
        <v>170</v>
      </c>
      <c r="L386" s="30">
        <v>45792</v>
      </c>
      <c r="M386">
        <v>25920</v>
      </c>
    </row>
    <row r="387" spans="2:13" x14ac:dyDescent="0.55000000000000004">
      <c r="B387" s="30">
        <v>45771</v>
      </c>
      <c r="C387">
        <v>5427</v>
      </c>
      <c r="G387" s="30">
        <v>43636</v>
      </c>
      <c r="H387">
        <v>150</v>
      </c>
      <c r="L387" s="30">
        <v>45791</v>
      </c>
      <c r="M387">
        <v>25924</v>
      </c>
    </row>
    <row r="388" spans="2:13" x14ac:dyDescent="0.55000000000000004">
      <c r="B388" s="30">
        <v>45770</v>
      </c>
      <c r="C388">
        <v>5362</v>
      </c>
      <c r="G388" s="30">
        <v>43622</v>
      </c>
      <c r="H388">
        <v>80</v>
      </c>
      <c r="L388" s="30">
        <v>45790</v>
      </c>
      <c r="M388">
        <v>25951</v>
      </c>
    </row>
    <row r="389" spans="2:13" x14ac:dyDescent="0.55000000000000004">
      <c r="B389" s="30">
        <v>45769</v>
      </c>
      <c r="C389">
        <v>5257</v>
      </c>
      <c r="G389" s="30">
        <v>43614</v>
      </c>
      <c r="H389">
        <v>80</v>
      </c>
      <c r="L389" s="30">
        <v>45789</v>
      </c>
      <c r="M389">
        <v>25960</v>
      </c>
    </row>
    <row r="390" spans="2:13" x14ac:dyDescent="0.55000000000000004">
      <c r="B390" s="30">
        <v>45764</v>
      </c>
      <c r="C390">
        <v>5277</v>
      </c>
      <c r="G390" s="30">
        <v>43608</v>
      </c>
      <c r="H390">
        <v>80</v>
      </c>
      <c r="L390" s="30">
        <v>45786</v>
      </c>
      <c r="M390">
        <v>25952</v>
      </c>
    </row>
    <row r="391" spans="2:13" x14ac:dyDescent="0.55000000000000004">
      <c r="B391" s="30">
        <v>45763</v>
      </c>
      <c r="C391">
        <v>5379</v>
      </c>
      <c r="G391" s="30">
        <v>43587</v>
      </c>
      <c r="H391">
        <v>50</v>
      </c>
      <c r="L391" s="30">
        <v>45785</v>
      </c>
      <c r="M391">
        <v>25959</v>
      </c>
    </row>
    <row r="392" spans="2:13" x14ac:dyDescent="0.55000000000000004">
      <c r="B392" s="30">
        <v>45762</v>
      </c>
      <c r="C392">
        <v>5340</v>
      </c>
      <c r="G392" s="30">
        <v>43580</v>
      </c>
      <c r="H392">
        <v>50</v>
      </c>
      <c r="L392" s="30">
        <v>45784</v>
      </c>
      <c r="M392">
        <v>25953</v>
      </c>
    </row>
    <row r="393" spans="2:13" x14ac:dyDescent="0.55000000000000004">
      <c r="B393" s="30">
        <v>45761</v>
      </c>
      <c r="C393">
        <v>5239</v>
      </c>
      <c r="G393" s="30">
        <v>43573</v>
      </c>
      <c r="H393">
        <v>50</v>
      </c>
      <c r="L393" s="30">
        <v>45783</v>
      </c>
      <c r="M393">
        <v>25948</v>
      </c>
    </row>
    <row r="394" spans="2:13" x14ac:dyDescent="0.55000000000000004">
      <c r="B394" s="30">
        <v>45758</v>
      </c>
      <c r="C394">
        <v>5049</v>
      </c>
      <c r="G394" s="30">
        <v>43566</v>
      </c>
      <c r="H394">
        <v>50</v>
      </c>
      <c r="L394" s="30">
        <v>45782</v>
      </c>
      <c r="M394">
        <v>25942</v>
      </c>
    </row>
    <row r="395" spans="2:13" x14ac:dyDescent="0.55000000000000004">
      <c r="B395" s="30">
        <v>45757</v>
      </c>
      <c r="C395">
        <v>4896</v>
      </c>
      <c r="G395" s="30">
        <v>43559</v>
      </c>
      <c r="H395">
        <v>30</v>
      </c>
      <c r="L395" s="30">
        <v>45779</v>
      </c>
      <c r="M395">
        <v>25980</v>
      </c>
    </row>
    <row r="396" spans="2:13" x14ac:dyDescent="0.55000000000000004">
      <c r="B396" s="30">
        <v>45756</v>
      </c>
      <c r="C396">
        <v>4797</v>
      </c>
      <c r="G396" s="30">
        <v>43552</v>
      </c>
      <c r="H396">
        <v>30</v>
      </c>
      <c r="L396" s="30">
        <v>45778</v>
      </c>
      <c r="M396">
        <v>25980</v>
      </c>
    </row>
    <row r="397" spans="2:13" x14ac:dyDescent="0.55000000000000004">
      <c r="B397" s="30">
        <v>45755</v>
      </c>
      <c r="C397">
        <v>4794</v>
      </c>
      <c r="G397" s="30">
        <v>43545</v>
      </c>
      <c r="H397">
        <v>30</v>
      </c>
      <c r="L397" s="30">
        <v>45777</v>
      </c>
      <c r="M397">
        <v>25980</v>
      </c>
    </row>
    <row r="398" spans="2:13" x14ac:dyDescent="0.55000000000000004">
      <c r="B398" s="30">
        <v>45754</v>
      </c>
      <c r="C398">
        <v>4800</v>
      </c>
      <c r="G398" s="30">
        <v>43538</v>
      </c>
      <c r="H398">
        <v>20</v>
      </c>
      <c r="L398" s="30">
        <v>45776</v>
      </c>
      <c r="M398">
        <v>25980</v>
      </c>
    </row>
    <row r="399" spans="2:13" x14ac:dyDescent="0.55000000000000004">
      <c r="B399" s="30">
        <v>45751</v>
      </c>
      <c r="C399">
        <v>5128</v>
      </c>
      <c r="G399" s="30">
        <v>43531</v>
      </c>
      <c r="H399">
        <v>10</v>
      </c>
      <c r="L399" s="30">
        <v>45775</v>
      </c>
      <c r="M399">
        <v>25980</v>
      </c>
    </row>
    <row r="400" spans="2:13" x14ac:dyDescent="0.55000000000000004">
      <c r="B400" s="30">
        <v>45750</v>
      </c>
      <c r="C400">
        <v>5388</v>
      </c>
      <c r="G400" s="30">
        <v>43509</v>
      </c>
      <c r="H400">
        <v>-10</v>
      </c>
      <c r="L400" s="30">
        <v>45773</v>
      </c>
      <c r="M400">
        <v>26000</v>
      </c>
    </row>
    <row r="401" spans="2:13" x14ac:dyDescent="0.55000000000000004">
      <c r="B401" s="30">
        <v>45749</v>
      </c>
      <c r="C401">
        <v>5400</v>
      </c>
      <c r="G401" s="30">
        <v>43503</v>
      </c>
      <c r="H401">
        <v>-10</v>
      </c>
      <c r="L401" s="30">
        <v>45772</v>
      </c>
      <c r="M401">
        <v>26019</v>
      </c>
    </row>
    <row r="402" spans="2:13" x14ac:dyDescent="0.55000000000000004">
      <c r="B402" s="30">
        <v>45748</v>
      </c>
      <c r="C402">
        <v>5406</v>
      </c>
      <c r="G402" s="30">
        <v>43489</v>
      </c>
      <c r="H402">
        <v>-10</v>
      </c>
      <c r="L402" s="30">
        <v>45771</v>
      </c>
      <c r="M402">
        <v>26026</v>
      </c>
    </row>
    <row r="403" spans="2:13" x14ac:dyDescent="0.55000000000000004">
      <c r="B403" s="30">
        <v>45747</v>
      </c>
      <c r="C403">
        <v>5295</v>
      </c>
      <c r="G403" s="30">
        <v>43482</v>
      </c>
      <c r="H403">
        <v>-10</v>
      </c>
      <c r="L403" s="30">
        <v>45770</v>
      </c>
      <c r="M403">
        <v>25965</v>
      </c>
    </row>
    <row r="404" spans="2:13" x14ac:dyDescent="0.55000000000000004">
      <c r="B404" s="30">
        <v>45744</v>
      </c>
      <c r="C404">
        <v>5354</v>
      </c>
      <c r="G404" s="30">
        <v>43474</v>
      </c>
      <c r="H404">
        <v>-20</v>
      </c>
      <c r="L404" s="30">
        <v>45769</v>
      </c>
      <c r="M404">
        <v>25932</v>
      </c>
    </row>
    <row r="405" spans="2:13" x14ac:dyDescent="0.55000000000000004">
      <c r="B405" s="30">
        <v>45743</v>
      </c>
      <c r="C405">
        <v>5361</v>
      </c>
      <c r="G405" s="30">
        <v>43468</v>
      </c>
      <c r="H405">
        <v>-20</v>
      </c>
      <c r="L405" s="30">
        <v>45768</v>
      </c>
      <c r="M405">
        <v>25871</v>
      </c>
    </row>
    <row r="406" spans="2:13" x14ac:dyDescent="0.55000000000000004">
      <c r="B406" s="30">
        <v>45742</v>
      </c>
      <c r="C406">
        <v>5443</v>
      </c>
      <c r="G406" s="30">
        <v>43462</v>
      </c>
      <c r="H406">
        <v>-20</v>
      </c>
      <c r="L406" s="30">
        <v>45765</v>
      </c>
      <c r="M406">
        <v>25925</v>
      </c>
    </row>
    <row r="407" spans="2:13" x14ac:dyDescent="0.55000000000000004">
      <c r="B407" s="30">
        <v>45741</v>
      </c>
      <c r="C407">
        <v>5591</v>
      </c>
      <c r="G407" s="30">
        <v>43454</v>
      </c>
      <c r="H407">
        <v>-30</v>
      </c>
      <c r="L407" s="30">
        <v>45764</v>
      </c>
      <c r="M407">
        <v>25837</v>
      </c>
    </row>
    <row r="408" spans="2:13" x14ac:dyDescent="0.55000000000000004">
      <c r="B408" s="30">
        <v>45740</v>
      </c>
      <c r="C408">
        <v>5501</v>
      </c>
      <c r="G408" s="30">
        <v>43446</v>
      </c>
      <c r="H408">
        <v>-30</v>
      </c>
      <c r="L408" s="30">
        <v>45763</v>
      </c>
      <c r="M408">
        <v>25830</v>
      </c>
    </row>
    <row r="409" spans="2:13" x14ac:dyDescent="0.55000000000000004">
      <c r="B409" s="30">
        <v>45737</v>
      </c>
      <c r="C409">
        <v>5515</v>
      </c>
      <c r="G409" s="30">
        <v>43440</v>
      </c>
      <c r="H409">
        <v>-30</v>
      </c>
      <c r="L409" s="30">
        <v>45762</v>
      </c>
      <c r="M409">
        <v>25790</v>
      </c>
    </row>
    <row r="410" spans="2:13" x14ac:dyDescent="0.55000000000000004">
      <c r="B410" s="30">
        <v>45736</v>
      </c>
      <c r="C410">
        <v>5497</v>
      </c>
      <c r="G410" s="30">
        <v>43433</v>
      </c>
      <c r="H410">
        <v>-30</v>
      </c>
      <c r="L410" s="30">
        <v>45761</v>
      </c>
      <c r="M410">
        <v>25824</v>
      </c>
    </row>
    <row r="411" spans="2:13" x14ac:dyDescent="0.55000000000000004">
      <c r="B411" s="30">
        <v>45735</v>
      </c>
      <c r="C411">
        <v>5527</v>
      </c>
      <c r="G411" s="30">
        <v>43426</v>
      </c>
      <c r="H411">
        <v>-30</v>
      </c>
      <c r="L411" s="30">
        <v>45758</v>
      </c>
      <c r="M411">
        <v>25715</v>
      </c>
    </row>
    <row r="412" spans="2:13" x14ac:dyDescent="0.55000000000000004">
      <c r="B412" s="30">
        <v>45734</v>
      </c>
      <c r="C412">
        <v>5469</v>
      </c>
      <c r="G412" s="30">
        <v>43419</v>
      </c>
      <c r="H412">
        <v>-30</v>
      </c>
      <c r="L412" s="30">
        <v>45757</v>
      </c>
      <c r="M412">
        <v>25740</v>
      </c>
    </row>
    <row r="413" spans="2:13" x14ac:dyDescent="0.55000000000000004">
      <c r="B413" s="30">
        <v>45733</v>
      </c>
      <c r="C413">
        <v>5474</v>
      </c>
      <c r="G413" s="30">
        <v>43412</v>
      </c>
      <c r="H413">
        <v>-30</v>
      </c>
      <c r="L413" s="30">
        <v>45756</v>
      </c>
      <c r="M413">
        <v>25960</v>
      </c>
    </row>
    <row r="414" spans="2:13" x14ac:dyDescent="0.55000000000000004">
      <c r="B414" s="30">
        <v>45730</v>
      </c>
      <c r="C414">
        <v>5397</v>
      </c>
      <c r="G414" s="30">
        <v>43406</v>
      </c>
      <c r="H414">
        <v>-30</v>
      </c>
      <c r="L414" s="30">
        <v>45755</v>
      </c>
      <c r="M414">
        <v>25995</v>
      </c>
    </row>
    <row r="415" spans="2:13" x14ac:dyDescent="0.55000000000000004">
      <c r="B415" s="30">
        <v>45729</v>
      </c>
      <c r="C415">
        <v>5528</v>
      </c>
      <c r="G415" s="30">
        <v>43398</v>
      </c>
      <c r="H415">
        <v>-30</v>
      </c>
      <c r="L415" s="30">
        <v>45754</v>
      </c>
      <c r="M415">
        <v>25780</v>
      </c>
    </row>
    <row r="416" spans="2:13" x14ac:dyDescent="0.55000000000000004">
      <c r="B416" s="30">
        <v>45728</v>
      </c>
      <c r="C416">
        <v>5508</v>
      </c>
      <c r="G416" s="30">
        <v>43391</v>
      </c>
      <c r="H416">
        <v>-30</v>
      </c>
      <c r="L416" s="30">
        <v>45751</v>
      </c>
      <c r="M416">
        <v>25780</v>
      </c>
    </row>
    <row r="417" spans="2:13" x14ac:dyDescent="0.55000000000000004">
      <c r="B417" s="30">
        <v>45727</v>
      </c>
      <c r="C417">
        <v>5552</v>
      </c>
      <c r="G417" s="30">
        <v>43384</v>
      </c>
      <c r="H417">
        <v>-30</v>
      </c>
      <c r="L417" s="30">
        <v>45750</v>
      </c>
      <c r="M417">
        <v>25790</v>
      </c>
    </row>
    <row r="418" spans="2:13" x14ac:dyDescent="0.55000000000000004">
      <c r="B418" s="30">
        <v>45726</v>
      </c>
      <c r="C418">
        <v>5375</v>
      </c>
      <c r="G418" s="30">
        <v>43377</v>
      </c>
      <c r="H418">
        <v>-30</v>
      </c>
      <c r="L418" s="30">
        <v>45749</v>
      </c>
      <c r="M418">
        <v>25600</v>
      </c>
    </row>
    <row r="419" spans="2:13" x14ac:dyDescent="0.55000000000000004">
      <c r="B419" s="30">
        <v>45723</v>
      </c>
      <c r="C419">
        <v>5353</v>
      </c>
      <c r="G419" s="30">
        <v>43370</v>
      </c>
      <c r="H419">
        <v>-30</v>
      </c>
      <c r="L419" s="30">
        <v>45748</v>
      </c>
      <c r="M419">
        <v>25620</v>
      </c>
    </row>
    <row r="420" spans="2:13" x14ac:dyDescent="0.55000000000000004">
      <c r="B420" s="30">
        <v>45722</v>
      </c>
      <c r="C420">
        <v>5427</v>
      </c>
      <c r="G420" s="30">
        <v>43363</v>
      </c>
      <c r="H420">
        <v>-30</v>
      </c>
      <c r="L420" s="30">
        <v>45747</v>
      </c>
      <c r="M420">
        <v>25565</v>
      </c>
    </row>
    <row r="421" spans="2:13" x14ac:dyDescent="0.55000000000000004">
      <c r="B421" s="30">
        <v>45721</v>
      </c>
      <c r="C421">
        <v>5643</v>
      </c>
      <c r="G421" s="30">
        <v>43356</v>
      </c>
      <c r="H421">
        <v>-30</v>
      </c>
      <c r="L421" s="30">
        <v>45744</v>
      </c>
      <c r="M421">
        <v>25550</v>
      </c>
    </row>
    <row r="422" spans="2:13" x14ac:dyDescent="0.55000000000000004">
      <c r="B422" s="30">
        <v>45720</v>
      </c>
      <c r="C422">
        <v>5645</v>
      </c>
      <c r="G422" s="30">
        <v>43342</v>
      </c>
      <c r="H422">
        <v>-30</v>
      </c>
      <c r="L422" s="30">
        <v>45743</v>
      </c>
      <c r="M422">
        <v>25560</v>
      </c>
    </row>
    <row r="423" spans="2:13" x14ac:dyDescent="0.55000000000000004">
      <c r="B423" s="30">
        <v>45719</v>
      </c>
      <c r="C423">
        <v>5486</v>
      </c>
      <c r="G423" s="30">
        <v>43335</v>
      </c>
      <c r="H423">
        <v>-20</v>
      </c>
      <c r="L423" s="30">
        <v>45742</v>
      </c>
      <c r="M423">
        <v>25555</v>
      </c>
    </row>
    <row r="424" spans="2:13" x14ac:dyDescent="0.55000000000000004">
      <c r="B424" s="30">
        <v>45716</v>
      </c>
      <c r="C424">
        <v>5330</v>
      </c>
      <c r="G424" s="30">
        <v>43328</v>
      </c>
      <c r="H424">
        <v>-20</v>
      </c>
      <c r="L424" s="30">
        <v>45741</v>
      </c>
      <c r="M424">
        <v>25600</v>
      </c>
    </row>
    <row r="425" spans="2:13" x14ac:dyDescent="0.55000000000000004">
      <c r="B425" s="30">
        <v>45715</v>
      </c>
      <c r="C425">
        <v>5376</v>
      </c>
      <c r="G425" s="30">
        <v>43321</v>
      </c>
      <c r="H425">
        <v>-20</v>
      </c>
      <c r="L425" s="30">
        <v>45740</v>
      </c>
      <c r="M425">
        <v>25620</v>
      </c>
    </row>
    <row r="426" spans="2:13" x14ac:dyDescent="0.55000000000000004">
      <c r="B426" s="30">
        <v>45714</v>
      </c>
      <c r="C426">
        <v>5410</v>
      </c>
      <c r="G426" s="30">
        <v>43314</v>
      </c>
      <c r="H426">
        <v>-20</v>
      </c>
      <c r="L426" s="30">
        <v>45737</v>
      </c>
      <c r="M426">
        <v>25585</v>
      </c>
    </row>
    <row r="427" spans="2:13" x14ac:dyDescent="0.55000000000000004">
      <c r="B427" s="30">
        <v>45713</v>
      </c>
      <c r="C427">
        <v>5407</v>
      </c>
      <c r="G427" s="30">
        <v>43306</v>
      </c>
      <c r="H427">
        <v>-20</v>
      </c>
      <c r="L427" s="30">
        <v>45736</v>
      </c>
      <c r="M427">
        <v>25545</v>
      </c>
    </row>
    <row r="428" spans="2:13" x14ac:dyDescent="0.55000000000000004">
      <c r="B428" s="30">
        <v>45712</v>
      </c>
      <c r="C428">
        <v>5550</v>
      </c>
      <c r="G428" s="30">
        <v>43300</v>
      </c>
      <c r="H428">
        <v>-20</v>
      </c>
      <c r="L428" s="30">
        <v>45735</v>
      </c>
      <c r="M428">
        <v>25535</v>
      </c>
    </row>
    <row r="429" spans="2:13" x14ac:dyDescent="0.55000000000000004">
      <c r="B429" s="30">
        <v>45709</v>
      </c>
      <c r="C429">
        <v>5717</v>
      </c>
      <c r="G429" s="30">
        <v>43293</v>
      </c>
      <c r="H429">
        <v>-40</v>
      </c>
      <c r="L429" s="30">
        <v>45734</v>
      </c>
      <c r="M429">
        <v>25510</v>
      </c>
    </row>
    <row r="430" spans="2:13" x14ac:dyDescent="0.55000000000000004">
      <c r="B430" s="30">
        <v>45708</v>
      </c>
      <c r="C430">
        <v>5655</v>
      </c>
      <c r="G430" s="30">
        <v>43286</v>
      </c>
      <c r="H430">
        <v>-40</v>
      </c>
      <c r="L430" s="30">
        <v>45733</v>
      </c>
      <c r="M430">
        <v>25510</v>
      </c>
    </row>
    <row r="431" spans="2:13" x14ac:dyDescent="0.55000000000000004">
      <c r="B431" s="30">
        <v>45707</v>
      </c>
      <c r="C431">
        <v>5746</v>
      </c>
      <c r="G431" s="30">
        <v>43279</v>
      </c>
      <c r="H431">
        <v>-40</v>
      </c>
      <c r="L431" s="30">
        <v>45730</v>
      </c>
      <c r="M431">
        <v>25500</v>
      </c>
    </row>
    <row r="432" spans="2:13" x14ac:dyDescent="0.55000000000000004">
      <c r="B432" s="30">
        <v>45706</v>
      </c>
      <c r="C432">
        <v>5721</v>
      </c>
      <c r="G432" s="30">
        <v>43272</v>
      </c>
      <c r="H432">
        <v>-40</v>
      </c>
      <c r="L432" s="30">
        <v>45729</v>
      </c>
      <c r="M432">
        <v>25490</v>
      </c>
    </row>
    <row r="433" spans="2:13" x14ac:dyDescent="0.55000000000000004">
      <c r="B433" s="30">
        <v>45705</v>
      </c>
      <c r="C433">
        <v>5680</v>
      </c>
      <c r="G433" s="30">
        <v>43265</v>
      </c>
      <c r="H433">
        <v>-30</v>
      </c>
      <c r="L433" s="30">
        <v>45728</v>
      </c>
      <c r="M433">
        <v>25445</v>
      </c>
    </row>
    <row r="434" spans="2:13" x14ac:dyDescent="0.55000000000000004">
      <c r="B434" s="30">
        <v>45702</v>
      </c>
      <c r="C434">
        <v>5726</v>
      </c>
      <c r="G434" s="30">
        <v>43258</v>
      </c>
      <c r="H434">
        <v>-30</v>
      </c>
      <c r="L434" s="30">
        <v>45727</v>
      </c>
      <c r="M434">
        <v>25450</v>
      </c>
    </row>
    <row r="435" spans="2:13" x14ac:dyDescent="0.55000000000000004">
      <c r="B435" s="30">
        <v>45701</v>
      </c>
      <c r="C435">
        <v>5788</v>
      </c>
      <c r="G435" s="30">
        <v>43251</v>
      </c>
      <c r="H435">
        <v>-30</v>
      </c>
      <c r="L435" s="30">
        <v>45726</v>
      </c>
      <c r="M435">
        <v>25525</v>
      </c>
    </row>
    <row r="436" spans="2:13" x14ac:dyDescent="0.55000000000000004">
      <c r="B436" s="30">
        <v>45700</v>
      </c>
      <c r="C436">
        <v>5821</v>
      </c>
      <c r="G436" s="30">
        <v>43244</v>
      </c>
      <c r="H436">
        <v>-20</v>
      </c>
      <c r="L436" s="30">
        <v>45723</v>
      </c>
      <c r="M436">
        <v>25480</v>
      </c>
    </row>
    <row r="437" spans="2:13" x14ac:dyDescent="0.55000000000000004">
      <c r="B437" s="30">
        <v>45699</v>
      </c>
      <c r="C437">
        <v>5663</v>
      </c>
      <c r="G437" s="30">
        <v>43237</v>
      </c>
      <c r="H437">
        <v>-20</v>
      </c>
      <c r="L437" s="30">
        <v>45722</v>
      </c>
      <c r="M437">
        <v>25485</v>
      </c>
    </row>
    <row r="438" spans="2:13" x14ac:dyDescent="0.55000000000000004">
      <c r="B438" s="30">
        <v>45698</v>
      </c>
      <c r="C438">
        <v>5697</v>
      </c>
      <c r="G438" s="30">
        <v>43229</v>
      </c>
      <c r="H438">
        <v>-20</v>
      </c>
      <c r="L438" s="30">
        <v>45721</v>
      </c>
      <c r="M438">
        <v>25490</v>
      </c>
    </row>
    <row r="439" spans="2:13" x14ac:dyDescent="0.55000000000000004">
      <c r="B439" s="30">
        <v>45695</v>
      </c>
      <c r="C439">
        <v>5564</v>
      </c>
      <c r="G439" s="30">
        <v>43223</v>
      </c>
      <c r="H439">
        <v>-20</v>
      </c>
      <c r="L439" s="30">
        <v>45720</v>
      </c>
      <c r="M439">
        <v>25540</v>
      </c>
    </row>
    <row r="440" spans="2:13" x14ac:dyDescent="0.55000000000000004">
      <c r="B440" s="30">
        <v>45694</v>
      </c>
      <c r="C440">
        <v>5646</v>
      </c>
      <c r="G440" s="30">
        <v>43216</v>
      </c>
      <c r="H440">
        <v>-20</v>
      </c>
      <c r="L440" s="30">
        <v>45719</v>
      </c>
      <c r="M440">
        <v>25575</v>
      </c>
    </row>
    <row r="441" spans="2:13" x14ac:dyDescent="0.55000000000000004">
      <c r="B441" s="30">
        <v>45693</v>
      </c>
      <c r="C441">
        <v>5646</v>
      </c>
      <c r="G441" s="30">
        <v>43201</v>
      </c>
      <c r="H441">
        <v>-20</v>
      </c>
      <c r="L441" s="30">
        <v>45716</v>
      </c>
      <c r="M441">
        <v>25530</v>
      </c>
    </row>
    <row r="442" spans="2:13" x14ac:dyDescent="0.55000000000000004">
      <c r="B442" s="30">
        <v>45692</v>
      </c>
      <c r="C442">
        <v>5548</v>
      </c>
      <c r="G442" s="30">
        <v>43194</v>
      </c>
      <c r="H442">
        <v>-20</v>
      </c>
      <c r="L442" s="30">
        <v>45715</v>
      </c>
      <c r="M442">
        <v>25520</v>
      </c>
    </row>
    <row r="443" spans="2:13" x14ac:dyDescent="0.55000000000000004">
      <c r="B443" s="30">
        <v>45691</v>
      </c>
      <c r="C443">
        <v>5520</v>
      </c>
      <c r="G443" s="30">
        <v>43187</v>
      </c>
      <c r="H443">
        <v>-30</v>
      </c>
      <c r="L443" s="30">
        <v>45714</v>
      </c>
      <c r="M443">
        <v>25535</v>
      </c>
    </row>
    <row r="444" spans="2:13" x14ac:dyDescent="0.55000000000000004">
      <c r="B444" s="30">
        <v>45688</v>
      </c>
      <c r="C444">
        <v>5694</v>
      </c>
      <c r="G444" s="30">
        <v>43174</v>
      </c>
      <c r="H444">
        <v>-20</v>
      </c>
      <c r="L444" s="30">
        <v>45713</v>
      </c>
      <c r="M444">
        <v>25520</v>
      </c>
    </row>
    <row r="445" spans="2:13" x14ac:dyDescent="0.55000000000000004">
      <c r="B445" s="30">
        <v>45687</v>
      </c>
      <c r="C445">
        <v>5709</v>
      </c>
      <c r="G445" s="30">
        <v>43167</v>
      </c>
      <c r="H445">
        <v>-20</v>
      </c>
      <c r="L445" s="30">
        <v>45712</v>
      </c>
      <c r="M445">
        <v>25468</v>
      </c>
    </row>
    <row r="446" spans="2:13" x14ac:dyDescent="0.55000000000000004">
      <c r="B446" s="30">
        <v>45686</v>
      </c>
      <c r="C446">
        <v>5583</v>
      </c>
      <c r="G446" s="30">
        <v>43160</v>
      </c>
      <c r="H446">
        <v>-20</v>
      </c>
      <c r="L446" s="30">
        <v>45709</v>
      </c>
      <c r="M446">
        <v>25510</v>
      </c>
    </row>
    <row r="447" spans="2:13" x14ac:dyDescent="0.55000000000000004">
      <c r="B447" s="30">
        <v>45685</v>
      </c>
      <c r="C447">
        <v>5521</v>
      </c>
      <c r="G447" s="30">
        <v>43139</v>
      </c>
      <c r="H447">
        <v>-10</v>
      </c>
      <c r="L447" s="30">
        <v>45708</v>
      </c>
      <c r="M447">
        <v>25500</v>
      </c>
    </row>
    <row r="448" spans="2:13" x14ac:dyDescent="0.55000000000000004">
      <c r="B448" s="30">
        <v>45684</v>
      </c>
      <c r="C448">
        <v>5460</v>
      </c>
      <c r="G448" s="30">
        <v>43132</v>
      </c>
      <c r="H448">
        <v>-10</v>
      </c>
      <c r="L448" s="30">
        <v>45707</v>
      </c>
      <c r="M448">
        <v>25515</v>
      </c>
    </row>
    <row r="449" spans="2:13" x14ac:dyDescent="0.55000000000000004">
      <c r="B449" s="30">
        <v>45681</v>
      </c>
      <c r="C449">
        <v>5544</v>
      </c>
      <c r="G449" s="30">
        <v>43125</v>
      </c>
      <c r="H449">
        <v>-10</v>
      </c>
      <c r="L449" s="30">
        <v>45706</v>
      </c>
      <c r="M449">
        <v>25500</v>
      </c>
    </row>
    <row r="450" spans="2:13" x14ac:dyDescent="0.55000000000000004">
      <c r="B450" s="30">
        <v>45680</v>
      </c>
      <c r="C450">
        <v>5482</v>
      </c>
      <c r="G450" s="30">
        <v>43112</v>
      </c>
      <c r="H450">
        <v>-10</v>
      </c>
      <c r="L450" s="30">
        <v>45705</v>
      </c>
      <c r="M450">
        <v>25470</v>
      </c>
    </row>
    <row r="451" spans="2:13" x14ac:dyDescent="0.55000000000000004">
      <c r="B451" s="30">
        <v>45679</v>
      </c>
      <c r="C451">
        <v>5452</v>
      </c>
      <c r="G451" s="30">
        <v>43105</v>
      </c>
      <c r="H451">
        <v>-10</v>
      </c>
      <c r="L451" s="30">
        <v>45702</v>
      </c>
      <c r="M451">
        <v>25370</v>
      </c>
    </row>
    <row r="452" spans="2:13" x14ac:dyDescent="0.55000000000000004">
      <c r="B452" s="30">
        <v>45678</v>
      </c>
      <c r="C452">
        <v>5263</v>
      </c>
      <c r="G452" s="30">
        <v>43090</v>
      </c>
      <c r="H452">
        <v>-10</v>
      </c>
      <c r="L452" s="30">
        <v>45701</v>
      </c>
      <c r="M452">
        <v>25440</v>
      </c>
    </row>
    <row r="453" spans="2:13" x14ac:dyDescent="0.55000000000000004">
      <c r="B453" s="30">
        <v>45677</v>
      </c>
      <c r="C453">
        <v>5143</v>
      </c>
      <c r="G453" s="30">
        <v>43083</v>
      </c>
      <c r="H453">
        <v>-20</v>
      </c>
      <c r="L453" s="30">
        <v>45700</v>
      </c>
      <c r="M453">
        <v>25550</v>
      </c>
    </row>
    <row r="454" spans="2:13" x14ac:dyDescent="0.55000000000000004">
      <c r="B454" s="30">
        <v>45674</v>
      </c>
      <c r="C454">
        <v>5006</v>
      </c>
      <c r="G454" s="30">
        <v>43076</v>
      </c>
      <c r="H454">
        <v>-20</v>
      </c>
      <c r="L454" s="30">
        <v>45699</v>
      </c>
      <c r="M454">
        <v>25530</v>
      </c>
    </row>
    <row r="455" spans="2:13" x14ac:dyDescent="0.55000000000000004">
      <c r="B455" s="30">
        <v>45673</v>
      </c>
      <c r="C455">
        <v>4889</v>
      </c>
      <c r="G455" s="30">
        <v>43069</v>
      </c>
      <c r="H455">
        <v>-20</v>
      </c>
      <c r="L455" s="30">
        <v>45698</v>
      </c>
      <c r="M455">
        <v>25380</v>
      </c>
    </row>
    <row r="456" spans="2:13" x14ac:dyDescent="0.55000000000000004">
      <c r="B456" s="30">
        <v>45672</v>
      </c>
      <c r="C456">
        <v>4912</v>
      </c>
      <c r="G456" s="30">
        <v>43062</v>
      </c>
      <c r="H456">
        <v>-20</v>
      </c>
      <c r="L456" s="30">
        <v>45695</v>
      </c>
      <c r="M456">
        <v>25290</v>
      </c>
    </row>
    <row r="457" spans="2:13" x14ac:dyDescent="0.55000000000000004">
      <c r="B457" s="30">
        <v>45671</v>
      </c>
      <c r="C457">
        <v>4863</v>
      </c>
      <c r="G457" s="30">
        <v>43055</v>
      </c>
      <c r="H457">
        <v>-10</v>
      </c>
      <c r="L457" s="30">
        <v>45694</v>
      </c>
      <c r="M457">
        <v>25260</v>
      </c>
    </row>
    <row r="458" spans="2:13" x14ac:dyDescent="0.55000000000000004">
      <c r="B458" s="30">
        <v>45670</v>
      </c>
      <c r="C458">
        <v>4902</v>
      </c>
      <c r="G458" s="30">
        <v>43041</v>
      </c>
      <c r="H458">
        <v>10</v>
      </c>
      <c r="L458" s="30">
        <v>45693</v>
      </c>
      <c r="M458">
        <v>25145</v>
      </c>
    </row>
    <row r="459" spans="2:13" x14ac:dyDescent="0.55000000000000004">
      <c r="B459" s="30">
        <v>45667</v>
      </c>
      <c r="C459">
        <v>4966</v>
      </c>
      <c r="G459" s="30">
        <v>43026</v>
      </c>
      <c r="H459">
        <v>-10</v>
      </c>
      <c r="L459" s="30">
        <v>45692</v>
      </c>
      <c r="M459">
        <v>25160</v>
      </c>
    </row>
    <row r="460" spans="2:13" x14ac:dyDescent="0.55000000000000004">
      <c r="B460" s="30">
        <v>45666</v>
      </c>
      <c r="C460">
        <v>4979</v>
      </c>
      <c r="G460" s="30">
        <v>43020</v>
      </c>
      <c r="H460">
        <v>-10</v>
      </c>
      <c r="L460" s="30">
        <v>45691</v>
      </c>
      <c r="M460">
        <v>25280</v>
      </c>
    </row>
    <row r="461" spans="2:13" x14ac:dyDescent="0.55000000000000004">
      <c r="B461" s="30">
        <v>45665</v>
      </c>
      <c r="C461">
        <v>4956</v>
      </c>
      <c r="G461" s="30">
        <v>43013</v>
      </c>
      <c r="H461">
        <v>-10</v>
      </c>
      <c r="L461" s="30">
        <v>45688</v>
      </c>
      <c r="M461">
        <v>25060</v>
      </c>
    </row>
    <row r="462" spans="2:13" x14ac:dyDescent="0.55000000000000004">
      <c r="B462" s="30">
        <v>45664</v>
      </c>
      <c r="C462">
        <v>5019</v>
      </c>
      <c r="G462" s="30">
        <v>43006</v>
      </c>
      <c r="H462">
        <v>-10</v>
      </c>
      <c r="L462" s="30">
        <v>45687</v>
      </c>
      <c r="M462">
        <v>25060</v>
      </c>
    </row>
    <row r="463" spans="2:13" x14ac:dyDescent="0.55000000000000004">
      <c r="B463" s="30">
        <v>45663</v>
      </c>
      <c r="C463">
        <v>4984</v>
      </c>
      <c r="G463" s="30">
        <v>42999</v>
      </c>
      <c r="H463">
        <v>-10</v>
      </c>
      <c r="L463" s="30">
        <v>45686</v>
      </c>
      <c r="M463">
        <v>25060</v>
      </c>
    </row>
    <row r="464" spans="2:13" x14ac:dyDescent="0.55000000000000004">
      <c r="B464" s="30">
        <v>45660</v>
      </c>
      <c r="C464">
        <v>4968</v>
      </c>
      <c r="G464" s="30">
        <v>42992</v>
      </c>
      <c r="H464">
        <v>-10</v>
      </c>
      <c r="L464" s="30">
        <v>45685</v>
      </c>
      <c r="M464">
        <v>25060</v>
      </c>
    </row>
    <row r="465" spans="2:13" x14ac:dyDescent="0.55000000000000004">
      <c r="B465" s="30">
        <v>45659</v>
      </c>
      <c r="C465">
        <v>5056</v>
      </c>
      <c r="G465" s="30">
        <v>42985</v>
      </c>
      <c r="H465">
        <v>-10</v>
      </c>
      <c r="L465" s="30">
        <v>45684</v>
      </c>
      <c r="M465">
        <v>25060</v>
      </c>
    </row>
    <row r="466" spans="2:13" x14ac:dyDescent="0.55000000000000004">
      <c r="B466" s="30">
        <v>45657</v>
      </c>
      <c r="C466">
        <v>4875</v>
      </c>
      <c r="G466" s="30">
        <v>42978</v>
      </c>
      <c r="H466">
        <v>-20</v>
      </c>
      <c r="L466" s="30">
        <v>45681</v>
      </c>
      <c r="M466">
        <v>25060</v>
      </c>
    </row>
    <row r="467" spans="2:13" x14ac:dyDescent="0.55000000000000004">
      <c r="B467" s="30">
        <v>45656</v>
      </c>
      <c r="C467">
        <v>4921</v>
      </c>
      <c r="G467" s="30">
        <v>42971</v>
      </c>
      <c r="H467">
        <v>-20</v>
      </c>
      <c r="L467" s="30">
        <v>45680</v>
      </c>
      <c r="M467">
        <v>25080</v>
      </c>
    </row>
    <row r="468" spans="2:13" x14ac:dyDescent="0.55000000000000004">
      <c r="B468" s="30">
        <v>45653</v>
      </c>
      <c r="C468">
        <v>4953</v>
      </c>
      <c r="G468" s="30">
        <v>42964</v>
      </c>
      <c r="H468">
        <v>-20</v>
      </c>
      <c r="L468" s="30">
        <v>45679</v>
      </c>
      <c r="M468">
        <v>25050</v>
      </c>
    </row>
    <row r="469" spans="2:13" x14ac:dyDescent="0.55000000000000004">
      <c r="B469" s="30">
        <v>45650</v>
      </c>
      <c r="C469">
        <v>5041</v>
      </c>
      <c r="G469" s="30">
        <v>42957</v>
      </c>
      <c r="H469">
        <v>-20</v>
      </c>
      <c r="L469" s="30">
        <v>45678</v>
      </c>
      <c r="M469">
        <v>25260</v>
      </c>
    </row>
    <row r="470" spans="2:13" x14ac:dyDescent="0.55000000000000004">
      <c r="B470" s="30">
        <v>45649</v>
      </c>
      <c r="C470">
        <v>5008</v>
      </c>
      <c r="G470" s="30">
        <v>42950</v>
      </c>
      <c r="H470">
        <v>-20</v>
      </c>
      <c r="L470" s="30">
        <v>45677</v>
      </c>
      <c r="M470">
        <v>25315</v>
      </c>
    </row>
    <row r="471" spans="2:13" x14ac:dyDescent="0.55000000000000004">
      <c r="B471" s="30">
        <v>45646</v>
      </c>
      <c r="C471">
        <v>5002</v>
      </c>
      <c r="G471" s="30">
        <v>42942</v>
      </c>
      <c r="H471">
        <v>-20</v>
      </c>
      <c r="L471" s="30">
        <v>45674</v>
      </c>
      <c r="M471">
        <v>25315</v>
      </c>
    </row>
    <row r="472" spans="2:13" x14ac:dyDescent="0.55000000000000004">
      <c r="B472" s="30">
        <v>45645</v>
      </c>
      <c r="C472">
        <v>5046</v>
      </c>
      <c r="G472" s="30">
        <v>42929</v>
      </c>
      <c r="H472">
        <v>20</v>
      </c>
      <c r="L472" s="30">
        <v>45673</v>
      </c>
      <c r="M472">
        <v>25370</v>
      </c>
    </row>
    <row r="473" spans="2:13" x14ac:dyDescent="0.55000000000000004">
      <c r="B473" s="30">
        <v>45644</v>
      </c>
      <c r="C473">
        <v>5139</v>
      </c>
      <c r="G473" s="30">
        <v>42922</v>
      </c>
      <c r="H473">
        <v>20</v>
      </c>
      <c r="L473" s="30">
        <v>45672</v>
      </c>
      <c r="M473">
        <v>25375</v>
      </c>
    </row>
    <row r="474" spans="2:13" x14ac:dyDescent="0.55000000000000004">
      <c r="B474" s="30">
        <v>45643</v>
      </c>
      <c r="C474">
        <v>5168</v>
      </c>
      <c r="G474" s="30">
        <v>42915</v>
      </c>
      <c r="H474">
        <v>20</v>
      </c>
      <c r="L474" s="30">
        <v>45671</v>
      </c>
      <c r="M474">
        <v>25380</v>
      </c>
    </row>
    <row r="475" spans="2:13" x14ac:dyDescent="0.55000000000000004">
      <c r="B475" s="30">
        <v>45642</v>
      </c>
      <c r="C475">
        <v>5203</v>
      </c>
      <c r="G475" s="30">
        <v>42908</v>
      </c>
      <c r="H475">
        <v>30</v>
      </c>
      <c r="L475" s="30">
        <v>45670</v>
      </c>
      <c r="M475">
        <v>25390</v>
      </c>
    </row>
    <row r="476" spans="2:13" x14ac:dyDescent="0.55000000000000004">
      <c r="B476" s="30">
        <v>45639</v>
      </c>
      <c r="C476">
        <v>5184</v>
      </c>
      <c r="G476" s="30">
        <v>42901</v>
      </c>
      <c r="H476">
        <v>30</v>
      </c>
      <c r="L476" s="30">
        <v>45667</v>
      </c>
      <c r="M476">
        <v>25360</v>
      </c>
    </row>
    <row r="477" spans="2:13" x14ac:dyDescent="0.55000000000000004">
      <c r="B477" s="30">
        <v>45638</v>
      </c>
      <c r="C477">
        <v>5152</v>
      </c>
      <c r="G477" s="30">
        <v>42894</v>
      </c>
      <c r="H477">
        <v>30</v>
      </c>
      <c r="L477" s="30">
        <v>45666</v>
      </c>
      <c r="M477">
        <v>25375</v>
      </c>
    </row>
    <row r="478" spans="2:13" x14ac:dyDescent="0.55000000000000004">
      <c r="B478" s="30">
        <v>45637</v>
      </c>
      <c r="C478">
        <v>5101</v>
      </c>
      <c r="G478" s="30">
        <v>42887</v>
      </c>
      <c r="H478">
        <v>40</v>
      </c>
      <c r="L478" s="30">
        <v>45665</v>
      </c>
      <c r="M478">
        <v>25370</v>
      </c>
    </row>
    <row r="479" spans="2:13" x14ac:dyDescent="0.55000000000000004">
      <c r="B479" s="30">
        <v>45636</v>
      </c>
      <c r="C479">
        <v>5232</v>
      </c>
      <c r="G479" s="30">
        <v>42879</v>
      </c>
      <c r="H479">
        <v>50</v>
      </c>
      <c r="L479" s="30">
        <v>45664</v>
      </c>
      <c r="M479">
        <v>25360</v>
      </c>
    </row>
    <row r="480" spans="2:13" x14ac:dyDescent="0.55000000000000004">
      <c r="B480" s="30">
        <v>45635</v>
      </c>
      <c r="C480">
        <v>5200</v>
      </c>
      <c r="G480" s="30">
        <v>42873</v>
      </c>
      <c r="H480">
        <v>50</v>
      </c>
      <c r="L480" s="30">
        <v>45663</v>
      </c>
      <c r="M480">
        <v>25370</v>
      </c>
    </row>
    <row r="481" spans="2:13" x14ac:dyDescent="0.55000000000000004">
      <c r="B481" s="30">
        <v>45632</v>
      </c>
      <c r="C481">
        <v>5116</v>
      </c>
      <c r="G481" s="30">
        <v>42866</v>
      </c>
      <c r="H481">
        <v>40</v>
      </c>
      <c r="L481" s="30">
        <v>45660</v>
      </c>
      <c r="M481">
        <v>25400</v>
      </c>
    </row>
    <row r="482" spans="2:13" x14ac:dyDescent="0.55000000000000004">
      <c r="B482" s="30">
        <v>45631</v>
      </c>
      <c r="C482">
        <v>4873</v>
      </c>
      <c r="G482" s="30">
        <v>42859</v>
      </c>
      <c r="H482">
        <v>40</v>
      </c>
      <c r="L482" s="30">
        <v>45659</v>
      </c>
      <c r="M482">
        <v>25450</v>
      </c>
    </row>
    <row r="483" spans="2:13" x14ac:dyDescent="0.55000000000000004">
      <c r="B483" s="30">
        <v>45630</v>
      </c>
      <c r="C483">
        <v>4751</v>
      </c>
      <c r="G483" s="30">
        <v>42853</v>
      </c>
      <c r="H483">
        <v>50</v>
      </c>
      <c r="L483" s="30">
        <v>45658</v>
      </c>
      <c r="M483">
        <v>25480</v>
      </c>
    </row>
    <row r="484" spans="2:13" x14ac:dyDescent="0.55000000000000004">
      <c r="B484" s="30">
        <v>45629</v>
      </c>
      <c r="C484">
        <v>4604</v>
      </c>
      <c r="G484" s="30">
        <v>42845</v>
      </c>
      <c r="H484">
        <v>10</v>
      </c>
      <c r="L484" s="30">
        <v>45657</v>
      </c>
      <c r="M484">
        <v>25480</v>
      </c>
    </row>
    <row r="485" spans="2:13" x14ac:dyDescent="0.55000000000000004">
      <c r="B485" s="30">
        <v>45628</v>
      </c>
      <c r="C485">
        <v>4806</v>
      </c>
      <c r="G485" s="30">
        <v>42831</v>
      </c>
      <c r="H485">
        <v>10</v>
      </c>
      <c r="L485" s="30">
        <v>45656</v>
      </c>
      <c r="M485">
        <v>25476</v>
      </c>
    </row>
    <row r="486" spans="2:13" x14ac:dyDescent="0.55000000000000004">
      <c r="B486" s="30">
        <v>45625</v>
      </c>
      <c r="C486">
        <v>5377</v>
      </c>
      <c r="G486" s="30">
        <v>42803</v>
      </c>
      <c r="H486">
        <v>-20</v>
      </c>
      <c r="L486" s="30">
        <v>45653</v>
      </c>
      <c r="M486">
        <v>25445</v>
      </c>
    </row>
    <row r="487" spans="2:13" x14ac:dyDescent="0.55000000000000004">
      <c r="B487" s="30">
        <v>45624</v>
      </c>
      <c r="C487">
        <v>5528</v>
      </c>
      <c r="G487" s="30">
        <v>42796</v>
      </c>
      <c r="H487">
        <v>-10</v>
      </c>
      <c r="L487" s="30">
        <v>45652</v>
      </c>
      <c r="M487">
        <v>25425</v>
      </c>
    </row>
    <row r="488" spans="2:13" x14ac:dyDescent="0.55000000000000004">
      <c r="B488" s="30">
        <v>45623</v>
      </c>
      <c r="C488">
        <v>5496</v>
      </c>
      <c r="G488" s="30">
        <v>42789</v>
      </c>
      <c r="H488">
        <v>-20</v>
      </c>
      <c r="L488" s="30">
        <v>45651</v>
      </c>
      <c r="M488">
        <v>25420</v>
      </c>
    </row>
    <row r="489" spans="2:13" x14ac:dyDescent="0.55000000000000004">
      <c r="B489" s="30">
        <v>45622</v>
      </c>
      <c r="C489">
        <v>5114</v>
      </c>
      <c r="G489" s="30">
        <v>42782</v>
      </c>
      <c r="H489">
        <v>-20</v>
      </c>
      <c r="L489" s="30">
        <v>45650</v>
      </c>
      <c r="M489">
        <v>25425</v>
      </c>
    </row>
    <row r="490" spans="2:13" x14ac:dyDescent="0.55000000000000004">
      <c r="B490" s="30">
        <v>45621</v>
      </c>
      <c r="C490">
        <v>5110</v>
      </c>
      <c r="G490" s="30">
        <v>42775</v>
      </c>
      <c r="H490">
        <v>-20</v>
      </c>
      <c r="L490" s="30">
        <v>45649</v>
      </c>
      <c r="M490">
        <v>25440</v>
      </c>
    </row>
    <row r="491" spans="2:13" x14ac:dyDescent="0.55000000000000004">
      <c r="B491" s="30">
        <v>45618</v>
      </c>
      <c r="C491">
        <v>4985</v>
      </c>
      <c r="G491" s="30">
        <v>42768</v>
      </c>
      <c r="H491">
        <v>-30</v>
      </c>
      <c r="L491" s="30">
        <v>45646</v>
      </c>
      <c r="M491">
        <v>25445</v>
      </c>
    </row>
    <row r="492" spans="2:13" x14ac:dyDescent="0.55000000000000004">
      <c r="B492" s="30">
        <v>45617</v>
      </c>
      <c r="C492">
        <v>4787</v>
      </c>
      <c r="G492" s="30">
        <v>42761</v>
      </c>
      <c r="H492">
        <v>-30</v>
      </c>
      <c r="L492" s="30">
        <v>45645</v>
      </c>
      <c r="M492">
        <v>25450</v>
      </c>
    </row>
    <row r="493" spans="2:13" x14ac:dyDescent="0.55000000000000004">
      <c r="B493" s="30">
        <v>45616</v>
      </c>
      <c r="C493">
        <v>4798</v>
      </c>
      <c r="G493" s="30">
        <v>42753</v>
      </c>
      <c r="H493">
        <v>-40</v>
      </c>
      <c r="L493" s="30">
        <v>45644</v>
      </c>
      <c r="M493">
        <v>25445</v>
      </c>
    </row>
    <row r="494" spans="2:13" x14ac:dyDescent="0.55000000000000004">
      <c r="B494" s="30">
        <v>45615</v>
      </c>
      <c r="C494">
        <v>4656</v>
      </c>
      <c r="G494" s="30">
        <v>42747</v>
      </c>
      <c r="H494">
        <v>-40</v>
      </c>
      <c r="L494" s="30">
        <v>45643</v>
      </c>
      <c r="M494">
        <v>25430</v>
      </c>
    </row>
    <row r="495" spans="2:13" x14ac:dyDescent="0.55000000000000004">
      <c r="B495" s="30">
        <v>45614</v>
      </c>
      <c r="C495">
        <v>4735</v>
      </c>
      <c r="G495" s="30">
        <v>42740</v>
      </c>
      <c r="H495">
        <v>-20</v>
      </c>
      <c r="L495" s="30">
        <v>45642</v>
      </c>
      <c r="M495">
        <v>25385</v>
      </c>
    </row>
    <row r="496" spans="2:13" x14ac:dyDescent="0.55000000000000004">
      <c r="B496" s="30">
        <v>45611</v>
      </c>
      <c r="C496">
        <v>4773</v>
      </c>
      <c r="G496" s="30">
        <v>42733</v>
      </c>
      <c r="H496">
        <v>-10</v>
      </c>
      <c r="L496" s="30">
        <v>45639</v>
      </c>
      <c r="M496">
        <v>25400</v>
      </c>
    </row>
    <row r="497" spans="2:13" x14ac:dyDescent="0.55000000000000004">
      <c r="B497" s="30">
        <v>45610</v>
      </c>
      <c r="C497">
        <v>4777</v>
      </c>
      <c r="G497" s="30">
        <v>42726</v>
      </c>
      <c r="H497">
        <v>-20</v>
      </c>
      <c r="L497" s="30">
        <v>45638</v>
      </c>
      <c r="M497">
        <v>25394</v>
      </c>
    </row>
    <row r="498" spans="2:13" x14ac:dyDescent="0.55000000000000004">
      <c r="B498" s="30">
        <v>45609</v>
      </c>
      <c r="C498">
        <v>4632</v>
      </c>
      <c r="G498" s="30">
        <v>42719</v>
      </c>
      <c r="H498">
        <v>-20</v>
      </c>
      <c r="L498" s="30">
        <v>45637</v>
      </c>
      <c r="M498">
        <v>25380</v>
      </c>
    </row>
    <row r="499" spans="2:13" x14ac:dyDescent="0.55000000000000004">
      <c r="B499" s="30">
        <v>45608</v>
      </c>
      <c r="C499">
        <v>4537</v>
      </c>
      <c r="G499" s="30">
        <v>42712</v>
      </c>
      <c r="H499">
        <v>-20</v>
      </c>
      <c r="L499" s="30">
        <v>45636</v>
      </c>
      <c r="M499">
        <v>25360</v>
      </c>
    </row>
    <row r="500" spans="2:13" x14ac:dyDescent="0.55000000000000004">
      <c r="B500" s="30">
        <v>45607</v>
      </c>
      <c r="C500">
        <v>4476</v>
      </c>
      <c r="G500" s="30">
        <v>42705</v>
      </c>
      <c r="H500">
        <v>-30</v>
      </c>
      <c r="L500" s="30">
        <v>45635</v>
      </c>
      <c r="M500">
        <v>25370</v>
      </c>
    </row>
    <row r="501" spans="2:13" x14ac:dyDescent="0.55000000000000004">
      <c r="B501" s="30">
        <v>45604</v>
      </c>
      <c r="C501">
        <v>4376</v>
      </c>
      <c r="G501" s="30">
        <v>42697</v>
      </c>
      <c r="H501">
        <v>-20</v>
      </c>
      <c r="L501" s="30">
        <v>45632</v>
      </c>
      <c r="M501">
        <v>25375</v>
      </c>
    </row>
    <row r="502" spans="2:13" x14ac:dyDescent="0.55000000000000004">
      <c r="B502" s="30">
        <v>45603</v>
      </c>
      <c r="C502">
        <v>4486</v>
      </c>
      <c r="G502" s="30">
        <v>42691</v>
      </c>
      <c r="H502">
        <v>-10</v>
      </c>
      <c r="L502" s="30">
        <v>45631</v>
      </c>
      <c r="M502">
        <v>25380</v>
      </c>
    </row>
    <row r="503" spans="2:13" x14ac:dyDescent="0.55000000000000004">
      <c r="B503" s="30">
        <v>45602</v>
      </c>
      <c r="C503">
        <v>4307</v>
      </c>
      <c r="G503" s="30">
        <v>42677</v>
      </c>
      <c r="H503">
        <v>-30</v>
      </c>
      <c r="L503" s="30">
        <v>45630</v>
      </c>
      <c r="M503">
        <v>25400</v>
      </c>
    </row>
    <row r="504" spans="2:13" x14ac:dyDescent="0.55000000000000004">
      <c r="B504" s="30">
        <v>45601</v>
      </c>
      <c r="C504">
        <v>4372</v>
      </c>
      <c r="G504" s="30">
        <v>42669</v>
      </c>
      <c r="H504">
        <v>-20</v>
      </c>
      <c r="L504" s="30">
        <v>45629</v>
      </c>
      <c r="M504">
        <v>25395</v>
      </c>
    </row>
    <row r="505" spans="2:13" x14ac:dyDescent="0.55000000000000004">
      <c r="B505" s="30">
        <v>45600</v>
      </c>
      <c r="C505">
        <v>4318</v>
      </c>
      <c r="G505" s="30">
        <v>42663</v>
      </c>
      <c r="H505">
        <v>-10</v>
      </c>
      <c r="L505" s="30">
        <v>45628</v>
      </c>
      <c r="M505">
        <v>25374</v>
      </c>
    </row>
    <row r="506" spans="2:13" x14ac:dyDescent="0.55000000000000004">
      <c r="B506" s="30">
        <v>45597</v>
      </c>
      <c r="C506">
        <v>4279</v>
      </c>
      <c r="G506" s="30">
        <v>42649</v>
      </c>
      <c r="H506">
        <v>10</v>
      </c>
      <c r="L506" s="30">
        <v>45625</v>
      </c>
      <c r="M506">
        <v>25344</v>
      </c>
    </row>
    <row r="507" spans="2:13" x14ac:dyDescent="0.55000000000000004">
      <c r="B507" s="30">
        <v>45596</v>
      </c>
      <c r="C507">
        <v>4369</v>
      </c>
      <c r="G507" s="30">
        <v>42628</v>
      </c>
      <c r="H507">
        <v>10</v>
      </c>
      <c r="L507" s="30">
        <v>45624</v>
      </c>
      <c r="M507">
        <v>25358</v>
      </c>
    </row>
    <row r="508" spans="2:13" x14ac:dyDescent="0.55000000000000004">
      <c r="B508" s="30">
        <v>45595</v>
      </c>
      <c r="C508">
        <v>4453</v>
      </c>
      <c r="G508" s="30">
        <v>42621</v>
      </c>
      <c r="H508">
        <v>20</v>
      </c>
      <c r="L508" s="30">
        <v>45623</v>
      </c>
      <c r="M508">
        <v>25375</v>
      </c>
    </row>
    <row r="509" spans="2:13" x14ac:dyDescent="0.55000000000000004">
      <c r="B509" s="30">
        <v>45594</v>
      </c>
      <c r="C509">
        <v>4398</v>
      </c>
      <c r="G509" s="30">
        <v>42614</v>
      </c>
      <c r="H509">
        <v>20</v>
      </c>
      <c r="L509" s="30">
        <v>45622</v>
      </c>
      <c r="M509">
        <v>25405</v>
      </c>
    </row>
    <row r="510" spans="2:13" x14ac:dyDescent="0.55000000000000004">
      <c r="B510" s="30">
        <v>45593</v>
      </c>
      <c r="C510">
        <v>4502</v>
      </c>
      <c r="G510" s="30">
        <v>42607</v>
      </c>
      <c r="H510">
        <v>20</v>
      </c>
      <c r="L510" s="30">
        <v>45621</v>
      </c>
      <c r="M510">
        <v>25410</v>
      </c>
    </row>
    <row r="511" spans="2:13" x14ac:dyDescent="0.55000000000000004">
      <c r="B511" s="30">
        <v>45590</v>
      </c>
      <c r="C511">
        <v>4411</v>
      </c>
      <c r="G511" s="30">
        <v>42600</v>
      </c>
      <c r="H511">
        <v>20</v>
      </c>
      <c r="L511" s="30">
        <v>45618</v>
      </c>
      <c r="M511">
        <v>25417</v>
      </c>
    </row>
    <row r="512" spans="2:13" x14ac:dyDescent="0.55000000000000004">
      <c r="B512" s="30">
        <v>45589</v>
      </c>
      <c r="C512">
        <v>4337</v>
      </c>
      <c r="G512" s="30">
        <v>42593</v>
      </c>
      <c r="H512">
        <v>20</v>
      </c>
      <c r="L512" s="30">
        <v>45617</v>
      </c>
      <c r="M512">
        <v>25415</v>
      </c>
    </row>
    <row r="513" spans="2:13" x14ac:dyDescent="0.55000000000000004">
      <c r="B513" s="30">
        <v>45588</v>
      </c>
      <c r="C513">
        <v>4443</v>
      </c>
      <c r="G513" s="30">
        <v>42585</v>
      </c>
      <c r="H513">
        <v>10</v>
      </c>
      <c r="L513" s="30">
        <v>45616</v>
      </c>
      <c r="M513">
        <v>25415</v>
      </c>
    </row>
    <row r="514" spans="2:13" x14ac:dyDescent="0.55000000000000004">
      <c r="B514" s="30">
        <v>45587</v>
      </c>
      <c r="C514">
        <v>4425</v>
      </c>
      <c r="G514" s="30">
        <v>42579</v>
      </c>
      <c r="H514">
        <v>20</v>
      </c>
      <c r="L514" s="30">
        <v>45615</v>
      </c>
      <c r="M514">
        <v>25395</v>
      </c>
    </row>
    <row r="515" spans="2:13" x14ac:dyDescent="0.55000000000000004">
      <c r="B515" s="30">
        <v>45586</v>
      </c>
      <c r="C515">
        <v>4503</v>
      </c>
      <c r="G515" s="30">
        <v>42572</v>
      </c>
      <c r="H515">
        <v>30</v>
      </c>
      <c r="L515" s="30">
        <v>45614</v>
      </c>
      <c r="M515">
        <v>25405</v>
      </c>
    </row>
    <row r="516" spans="2:13" x14ac:dyDescent="0.55000000000000004">
      <c r="B516" s="30">
        <v>45583</v>
      </c>
      <c r="C516">
        <v>4615</v>
      </c>
      <c r="G516" s="30">
        <v>42564</v>
      </c>
      <c r="H516">
        <v>40</v>
      </c>
      <c r="L516" s="30">
        <v>45611</v>
      </c>
      <c r="M516">
        <v>25380</v>
      </c>
    </row>
    <row r="517" spans="2:13" x14ac:dyDescent="0.55000000000000004">
      <c r="B517" s="30">
        <v>45582</v>
      </c>
      <c r="C517">
        <v>4598</v>
      </c>
      <c r="G517" s="30">
        <v>42558</v>
      </c>
      <c r="H517">
        <v>50</v>
      </c>
      <c r="L517" s="30">
        <v>45610</v>
      </c>
      <c r="M517">
        <v>25390</v>
      </c>
    </row>
    <row r="518" spans="2:13" x14ac:dyDescent="0.55000000000000004">
      <c r="B518" s="30">
        <v>45581</v>
      </c>
      <c r="C518">
        <v>4752</v>
      </c>
      <c r="G518" s="30">
        <v>42550</v>
      </c>
      <c r="H518">
        <v>50</v>
      </c>
      <c r="L518" s="30">
        <v>45609</v>
      </c>
      <c r="M518">
        <v>25330</v>
      </c>
    </row>
    <row r="519" spans="2:13" x14ac:dyDescent="0.55000000000000004">
      <c r="B519" s="30">
        <v>45580</v>
      </c>
      <c r="C519">
        <v>4778</v>
      </c>
      <c r="G519" s="30">
        <v>42544</v>
      </c>
      <c r="H519">
        <v>50</v>
      </c>
      <c r="L519" s="30">
        <v>45608</v>
      </c>
      <c r="M519">
        <v>25340</v>
      </c>
    </row>
    <row r="520" spans="2:13" x14ac:dyDescent="0.55000000000000004">
      <c r="B520" s="30">
        <v>45579</v>
      </c>
      <c r="C520">
        <v>4843</v>
      </c>
      <c r="G520" s="30">
        <v>42537</v>
      </c>
      <c r="H520">
        <v>70</v>
      </c>
      <c r="L520" s="30">
        <v>45607</v>
      </c>
      <c r="M520">
        <v>25310</v>
      </c>
    </row>
    <row r="521" spans="2:13" x14ac:dyDescent="0.55000000000000004">
      <c r="B521" s="30">
        <v>45576</v>
      </c>
      <c r="C521">
        <v>4678</v>
      </c>
      <c r="G521" s="30">
        <v>42530</v>
      </c>
      <c r="H521">
        <v>60</v>
      </c>
      <c r="L521" s="30">
        <v>45604</v>
      </c>
      <c r="M521">
        <v>25260</v>
      </c>
    </row>
    <row r="522" spans="2:13" x14ac:dyDescent="0.55000000000000004">
      <c r="B522" s="30">
        <v>45575</v>
      </c>
      <c r="C522">
        <v>4742</v>
      </c>
      <c r="G522" s="30">
        <v>42516</v>
      </c>
      <c r="H522">
        <v>70</v>
      </c>
      <c r="L522" s="30">
        <v>45603</v>
      </c>
      <c r="M522">
        <v>25350</v>
      </c>
    </row>
    <row r="523" spans="2:13" x14ac:dyDescent="0.55000000000000004">
      <c r="B523" s="30">
        <v>45574</v>
      </c>
      <c r="C523">
        <v>4701</v>
      </c>
      <c r="G523" s="30">
        <v>42509</v>
      </c>
      <c r="H523">
        <v>60</v>
      </c>
      <c r="L523" s="30">
        <v>45602</v>
      </c>
      <c r="M523">
        <v>25370</v>
      </c>
    </row>
    <row r="524" spans="2:13" x14ac:dyDescent="0.55000000000000004">
      <c r="B524" s="30">
        <v>45573</v>
      </c>
      <c r="C524">
        <v>4684</v>
      </c>
      <c r="G524" s="30">
        <v>42502</v>
      </c>
      <c r="H524">
        <v>60</v>
      </c>
      <c r="L524" s="30">
        <v>45601</v>
      </c>
      <c r="M524">
        <v>25330</v>
      </c>
    </row>
    <row r="525" spans="2:13" x14ac:dyDescent="0.55000000000000004">
      <c r="B525" s="30">
        <v>45572</v>
      </c>
      <c r="C525">
        <v>4660</v>
      </c>
      <c r="G525" s="30">
        <v>42494</v>
      </c>
      <c r="H525">
        <v>60</v>
      </c>
      <c r="L525" s="30">
        <v>45600</v>
      </c>
      <c r="M525">
        <v>25310</v>
      </c>
    </row>
    <row r="526" spans="2:13" x14ac:dyDescent="0.55000000000000004">
      <c r="B526" s="30">
        <v>45569</v>
      </c>
      <c r="C526">
        <v>4859</v>
      </c>
      <c r="G526" s="30">
        <v>42488</v>
      </c>
      <c r="H526">
        <v>60</v>
      </c>
      <c r="L526" s="30">
        <v>45597</v>
      </c>
      <c r="M526">
        <v>25280</v>
      </c>
    </row>
    <row r="527" spans="2:13" x14ac:dyDescent="0.55000000000000004">
      <c r="B527" s="30">
        <v>45568</v>
      </c>
      <c r="C527">
        <v>4720</v>
      </c>
      <c r="G527" s="30">
        <v>42481</v>
      </c>
      <c r="H527">
        <v>70</v>
      </c>
      <c r="L527" s="30">
        <v>45596</v>
      </c>
      <c r="M527">
        <v>25270</v>
      </c>
    </row>
    <row r="528" spans="2:13" x14ac:dyDescent="0.55000000000000004">
      <c r="B528" s="30">
        <v>45567</v>
      </c>
      <c r="C528">
        <v>4862</v>
      </c>
      <c r="G528" s="30">
        <v>42474</v>
      </c>
      <c r="H528">
        <v>70</v>
      </c>
      <c r="L528" s="30">
        <v>45595</v>
      </c>
      <c r="M528">
        <v>25280</v>
      </c>
    </row>
    <row r="529" spans="2:13" x14ac:dyDescent="0.55000000000000004">
      <c r="B529" s="30">
        <v>45566</v>
      </c>
      <c r="C529">
        <v>5179</v>
      </c>
      <c r="G529" s="30">
        <v>42466</v>
      </c>
      <c r="H529">
        <v>60</v>
      </c>
      <c r="L529" s="30">
        <v>45594</v>
      </c>
      <c r="M529">
        <v>25295</v>
      </c>
    </row>
    <row r="530" spans="2:13" x14ac:dyDescent="0.55000000000000004">
      <c r="B530" s="30">
        <v>45565</v>
      </c>
      <c r="C530">
        <v>5225</v>
      </c>
      <c r="G530" s="30">
        <v>42460</v>
      </c>
      <c r="H530">
        <v>50</v>
      </c>
      <c r="L530" s="30">
        <v>45593</v>
      </c>
      <c r="M530">
        <v>25345</v>
      </c>
    </row>
    <row r="531" spans="2:13" x14ac:dyDescent="0.55000000000000004">
      <c r="B531" s="30">
        <v>45562</v>
      </c>
      <c r="C531">
        <v>5203</v>
      </c>
      <c r="G531" s="30">
        <v>42453</v>
      </c>
      <c r="H531">
        <v>60</v>
      </c>
      <c r="L531" s="30">
        <v>45590</v>
      </c>
      <c r="M531">
        <v>25355</v>
      </c>
    </row>
    <row r="532" spans="2:13" x14ac:dyDescent="0.55000000000000004">
      <c r="B532" s="30">
        <v>45561</v>
      </c>
      <c r="C532">
        <v>5242</v>
      </c>
      <c r="G532" s="30">
        <v>42446</v>
      </c>
      <c r="H532">
        <v>60</v>
      </c>
      <c r="L532" s="30">
        <v>45589</v>
      </c>
      <c r="M532">
        <v>25385</v>
      </c>
    </row>
    <row r="533" spans="2:13" x14ac:dyDescent="0.55000000000000004">
      <c r="B533" s="30">
        <v>45560</v>
      </c>
      <c r="C533">
        <v>5152</v>
      </c>
      <c r="G533" s="30">
        <v>42439</v>
      </c>
      <c r="H533">
        <v>60</v>
      </c>
      <c r="L533" s="30">
        <v>45588</v>
      </c>
      <c r="M533">
        <v>25400</v>
      </c>
    </row>
    <row r="534" spans="2:13" x14ac:dyDescent="0.55000000000000004">
      <c r="B534" s="30">
        <v>45559</v>
      </c>
      <c r="C534">
        <v>5312</v>
      </c>
      <c r="G534" s="30">
        <v>42432</v>
      </c>
      <c r="H534">
        <v>50</v>
      </c>
      <c r="L534" s="30">
        <v>45587</v>
      </c>
      <c r="M534">
        <v>25390</v>
      </c>
    </row>
    <row r="535" spans="2:13" x14ac:dyDescent="0.55000000000000004">
      <c r="B535" s="30">
        <v>45558</v>
      </c>
      <c r="C535">
        <v>5276</v>
      </c>
      <c r="G535" s="30">
        <v>42425</v>
      </c>
      <c r="H535">
        <v>50</v>
      </c>
      <c r="L535" s="30">
        <v>45586</v>
      </c>
      <c r="M535">
        <v>25285</v>
      </c>
    </row>
    <row r="536" spans="2:13" x14ac:dyDescent="0.55000000000000004">
      <c r="B536" s="30">
        <v>45555</v>
      </c>
      <c r="C536">
        <v>5059</v>
      </c>
      <c r="G536" s="30">
        <v>42418</v>
      </c>
      <c r="H536">
        <v>60</v>
      </c>
      <c r="L536" s="30">
        <v>45583</v>
      </c>
      <c r="M536">
        <v>25150</v>
      </c>
    </row>
    <row r="537" spans="2:13" x14ac:dyDescent="0.55000000000000004">
      <c r="B537" s="30">
        <v>45554</v>
      </c>
      <c r="C537">
        <v>5248</v>
      </c>
      <c r="G537" s="30">
        <v>42411</v>
      </c>
      <c r="H537">
        <v>40</v>
      </c>
      <c r="L537" s="30">
        <v>45582</v>
      </c>
      <c r="M537">
        <v>25180</v>
      </c>
    </row>
    <row r="538" spans="2:13" x14ac:dyDescent="0.55000000000000004">
      <c r="B538" s="30">
        <v>45553</v>
      </c>
      <c r="C538">
        <v>5334</v>
      </c>
      <c r="G538" s="30">
        <v>42404</v>
      </c>
      <c r="H538">
        <v>50</v>
      </c>
      <c r="L538" s="30">
        <v>45581</v>
      </c>
      <c r="M538">
        <v>24970</v>
      </c>
    </row>
    <row r="539" spans="2:13" x14ac:dyDescent="0.55000000000000004">
      <c r="B539" s="30">
        <v>45552</v>
      </c>
      <c r="C539">
        <v>5303</v>
      </c>
      <c r="G539" s="30">
        <v>42397</v>
      </c>
      <c r="H539">
        <v>50</v>
      </c>
      <c r="L539" s="30">
        <v>45580</v>
      </c>
      <c r="M539">
        <v>24925</v>
      </c>
    </row>
    <row r="540" spans="2:13" x14ac:dyDescent="0.55000000000000004">
      <c r="B540" s="30">
        <v>45551</v>
      </c>
      <c r="C540">
        <v>5246</v>
      </c>
      <c r="G540" s="30">
        <v>42390</v>
      </c>
      <c r="H540">
        <v>50</v>
      </c>
      <c r="L540" s="30">
        <v>45579</v>
      </c>
      <c r="M540">
        <v>24840</v>
      </c>
    </row>
    <row r="541" spans="2:13" x14ac:dyDescent="0.55000000000000004">
      <c r="B541" s="30">
        <v>45548</v>
      </c>
      <c r="C541">
        <v>5267</v>
      </c>
      <c r="G541" s="30">
        <v>42383</v>
      </c>
      <c r="H541">
        <v>40</v>
      </c>
      <c r="L541" s="30">
        <v>45576</v>
      </c>
      <c r="M541">
        <v>24805</v>
      </c>
    </row>
    <row r="542" spans="2:13" x14ac:dyDescent="0.55000000000000004">
      <c r="B542" s="30">
        <v>45547</v>
      </c>
      <c r="C542">
        <v>5077</v>
      </c>
      <c r="G542" s="30">
        <v>42376</v>
      </c>
      <c r="H542">
        <v>30</v>
      </c>
      <c r="L542" s="30">
        <v>45575</v>
      </c>
      <c r="M542">
        <v>24830</v>
      </c>
    </row>
    <row r="543" spans="2:13" x14ac:dyDescent="0.55000000000000004">
      <c r="B543" s="30">
        <v>45546</v>
      </c>
      <c r="C543">
        <v>5008</v>
      </c>
      <c r="G543" s="30">
        <v>42368</v>
      </c>
      <c r="H543">
        <v>30</v>
      </c>
      <c r="L543" s="30">
        <v>45574</v>
      </c>
      <c r="M543">
        <v>24830</v>
      </c>
    </row>
    <row r="544" spans="2:13" x14ac:dyDescent="0.55000000000000004">
      <c r="B544" s="30">
        <v>45545</v>
      </c>
      <c r="C544">
        <v>4897</v>
      </c>
      <c r="G544" s="30">
        <v>42361</v>
      </c>
      <c r="H544">
        <v>30</v>
      </c>
      <c r="L544" s="30">
        <v>45573</v>
      </c>
      <c r="M544">
        <v>24835</v>
      </c>
    </row>
    <row r="545" spans="2:13" x14ac:dyDescent="0.55000000000000004">
      <c r="B545" s="30">
        <v>45544</v>
      </c>
      <c r="C545">
        <v>4891</v>
      </c>
      <c r="G545" s="30">
        <v>42355</v>
      </c>
      <c r="H545">
        <v>40</v>
      </c>
      <c r="L545" s="30">
        <v>45572</v>
      </c>
      <c r="M545">
        <v>24840</v>
      </c>
    </row>
    <row r="546" spans="2:13" x14ac:dyDescent="0.55000000000000004">
      <c r="B546" s="30">
        <v>45541</v>
      </c>
      <c r="C546">
        <v>4770</v>
      </c>
      <c r="G546" s="30">
        <v>42347</v>
      </c>
      <c r="H546">
        <v>40</v>
      </c>
      <c r="L546" s="30">
        <v>45569</v>
      </c>
      <c r="M546">
        <v>24755</v>
      </c>
    </row>
    <row r="547" spans="2:13" x14ac:dyDescent="0.55000000000000004">
      <c r="B547" s="30">
        <v>45540</v>
      </c>
      <c r="C547">
        <v>4911</v>
      </c>
      <c r="G547" s="30">
        <v>42341</v>
      </c>
      <c r="H547">
        <v>60</v>
      </c>
      <c r="L547" s="30">
        <v>45568</v>
      </c>
      <c r="M547">
        <v>24745</v>
      </c>
    </row>
    <row r="548" spans="2:13" x14ac:dyDescent="0.55000000000000004">
      <c r="B548" s="30">
        <v>45539</v>
      </c>
      <c r="C548">
        <v>4912</v>
      </c>
      <c r="G548" s="30">
        <v>42334</v>
      </c>
      <c r="H548">
        <v>80</v>
      </c>
      <c r="L548" s="30">
        <v>45567</v>
      </c>
      <c r="M548">
        <v>24652</v>
      </c>
    </row>
    <row r="549" spans="2:13" x14ac:dyDescent="0.55000000000000004">
      <c r="B549" s="30">
        <v>45538</v>
      </c>
      <c r="C549">
        <v>4710</v>
      </c>
      <c r="G549" s="30">
        <v>42327</v>
      </c>
      <c r="H549">
        <v>90</v>
      </c>
      <c r="L549" s="30">
        <v>45566</v>
      </c>
      <c r="M549">
        <v>24595</v>
      </c>
    </row>
    <row r="550" spans="2:13" x14ac:dyDescent="0.55000000000000004">
      <c r="B550" s="30">
        <v>45537</v>
      </c>
      <c r="C550">
        <v>4700</v>
      </c>
      <c r="G550" s="30">
        <v>42320</v>
      </c>
      <c r="H550">
        <v>90</v>
      </c>
      <c r="L550" s="30">
        <v>45565</v>
      </c>
      <c r="M550">
        <v>24555</v>
      </c>
    </row>
    <row r="551" spans="2:13" x14ac:dyDescent="0.55000000000000004">
      <c r="B551" s="30">
        <v>45534</v>
      </c>
      <c r="C551">
        <v>4948</v>
      </c>
      <c r="G551" s="30">
        <v>42306</v>
      </c>
      <c r="H551">
        <v>90</v>
      </c>
      <c r="L551" s="30">
        <v>45562</v>
      </c>
      <c r="M551">
        <v>24590</v>
      </c>
    </row>
    <row r="552" spans="2:13" x14ac:dyDescent="0.55000000000000004">
      <c r="B552" s="30">
        <v>45533</v>
      </c>
      <c r="C552">
        <v>4901</v>
      </c>
      <c r="G552" s="30">
        <v>42299</v>
      </c>
      <c r="H552">
        <v>90</v>
      </c>
      <c r="L552" s="30">
        <v>45561</v>
      </c>
      <c r="M552">
        <v>24615</v>
      </c>
    </row>
    <row r="553" spans="2:13" x14ac:dyDescent="0.55000000000000004">
      <c r="B553" s="30">
        <v>45532</v>
      </c>
      <c r="C553">
        <v>4926</v>
      </c>
      <c r="G553" s="30">
        <v>42292</v>
      </c>
      <c r="H553">
        <v>100</v>
      </c>
      <c r="L553" s="30">
        <v>45560</v>
      </c>
      <c r="M553">
        <v>24580</v>
      </c>
    </row>
    <row r="554" spans="2:13" x14ac:dyDescent="0.55000000000000004">
      <c r="B554" s="30">
        <v>45531</v>
      </c>
      <c r="C554">
        <v>4846</v>
      </c>
      <c r="G554" s="30">
        <v>42285</v>
      </c>
      <c r="H554">
        <v>100</v>
      </c>
      <c r="L554" s="30">
        <v>45559</v>
      </c>
      <c r="M554">
        <v>24590</v>
      </c>
    </row>
    <row r="555" spans="2:13" x14ac:dyDescent="0.55000000000000004">
      <c r="B555" s="30">
        <v>45527</v>
      </c>
      <c r="C555">
        <v>4715</v>
      </c>
      <c r="G555" s="30">
        <v>42278</v>
      </c>
      <c r="H555">
        <v>110</v>
      </c>
      <c r="L555" s="30">
        <v>45558</v>
      </c>
      <c r="M555">
        <v>24615</v>
      </c>
    </row>
    <row r="556" spans="2:13" x14ac:dyDescent="0.55000000000000004">
      <c r="B556" s="30">
        <v>45526</v>
      </c>
      <c r="C556">
        <v>4574</v>
      </c>
      <c r="G556" s="30">
        <v>42271</v>
      </c>
      <c r="H556">
        <v>100</v>
      </c>
      <c r="L556" s="30">
        <v>45555</v>
      </c>
      <c r="M556">
        <v>24590</v>
      </c>
    </row>
    <row r="557" spans="2:13" x14ac:dyDescent="0.55000000000000004">
      <c r="B557" s="30">
        <v>45525</v>
      </c>
      <c r="C557">
        <v>4632</v>
      </c>
      <c r="G557" s="30">
        <v>42264</v>
      </c>
      <c r="H557">
        <v>110</v>
      </c>
      <c r="L557" s="30">
        <v>45554</v>
      </c>
      <c r="M557">
        <v>24565</v>
      </c>
    </row>
    <row r="558" spans="2:13" x14ac:dyDescent="0.55000000000000004">
      <c r="B558" s="30">
        <v>45524</v>
      </c>
      <c r="C558">
        <v>4619</v>
      </c>
      <c r="G558" s="30">
        <v>42257</v>
      </c>
      <c r="H558">
        <v>80</v>
      </c>
      <c r="L558" s="30">
        <v>45553</v>
      </c>
      <c r="M558">
        <v>24600</v>
      </c>
    </row>
    <row r="559" spans="2:13" x14ac:dyDescent="0.55000000000000004">
      <c r="B559" s="30">
        <v>45523</v>
      </c>
      <c r="C559">
        <v>4476</v>
      </c>
      <c r="G559" s="30">
        <v>42250</v>
      </c>
      <c r="H559">
        <v>80</v>
      </c>
      <c r="L559" s="30">
        <v>45552</v>
      </c>
      <c r="M559">
        <v>24620</v>
      </c>
    </row>
    <row r="560" spans="2:13" x14ac:dyDescent="0.55000000000000004">
      <c r="B560" s="30">
        <v>45520</v>
      </c>
      <c r="C560">
        <v>4452</v>
      </c>
      <c r="G560" s="30">
        <v>42243</v>
      </c>
      <c r="H560">
        <v>80</v>
      </c>
      <c r="L560" s="30">
        <v>45551</v>
      </c>
      <c r="M560">
        <v>24530</v>
      </c>
    </row>
    <row r="561" spans="2:13" x14ac:dyDescent="0.55000000000000004">
      <c r="B561" s="30">
        <v>45519</v>
      </c>
      <c r="C561">
        <v>4378</v>
      </c>
      <c r="G561" s="30">
        <v>42236</v>
      </c>
      <c r="H561">
        <v>80</v>
      </c>
      <c r="L561" s="30">
        <v>45548</v>
      </c>
      <c r="M561">
        <v>24530</v>
      </c>
    </row>
    <row r="562" spans="2:13" x14ac:dyDescent="0.55000000000000004">
      <c r="B562" s="30">
        <v>45518</v>
      </c>
      <c r="C562">
        <v>4292</v>
      </c>
      <c r="G562" s="30">
        <v>42229</v>
      </c>
      <c r="H562">
        <v>90</v>
      </c>
      <c r="L562" s="30">
        <v>45547</v>
      </c>
      <c r="M562">
        <v>24575</v>
      </c>
    </row>
    <row r="563" spans="2:13" x14ac:dyDescent="0.55000000000000004">
      <c r="B563" s="30">
        <v>45517</v>
      </c>
      <c r="C563">
        <v>4187</v>
      </c>
      <c r="G563" s="30">
        <v>42222</v>
      </c>
      <c r="H563">
        <v>75</v>
      </c>
      <c r="L563" s="30">
        <v>45546</v>
      </c>
      <c r="M563">
        <v>24550</v>
      </c>
    </row>
    <row r="564" spans="2:13" x14ac:dyDescent="0.55000000000000004">
      <c r="B564" s="30">
        <v>45516</v>
      </c>
      <c r="C564">
        <v>4359</v>
      </c>
      <c r="G564" s="30">
        <v>42215</v>
      </c>
      <c r="H564">
        <v>90</v>
      </c>
      <c r="L564" s="30">
        <v>45545</v>
      </c>
      <c r="M564">
        <v>24660</v>
      </c>
    </row>
    <row r="565" spans="2:13" x14ac:dyDescent="0.55000000000000004">
      <c r="B565" s="30">
        <v>45513</v>
      </c>
      <c r="C565">
        <v>4162</v>
      </c>
      <c r="G565" s="30">
        <v>42208</v>
      </c>
      <c r="H565">
        <v>70</v>
      </c>
      <c r="L565" s="30">
        <v>45544</v>
      </c>
      <c r="M565">
        <v>24680</v>
      </c>
    </row>
    <row r="566" spans="2:13" x14ac:dyDescent="0.55000000000000004">
      <c r="B566" s="30">
        <v>45512</v>
      </c>
      <c r="C566">
        <v>4253</v>
      </c>
      <c r="G566" s="30">
        <v>42201</v>
      </c>
      <c r="H566">
        <v>70</v>
      </c>
      <c r="L566" s="30">
        <v>45541</v>
      </c>
      <c r="M566">
        <v>24600</v>
      </c>
    </row>
    <row r="567" spans="2:13" x14ac:dyDescent="0.55000000000000004">
      <c r="B567" s="30">
        <v>45511</v>
      </c>
      <c r="C567">
        <v>4286</v>
      </c>
      <c r="G567" s="30">
        <v>42194</v>
      </c>
      <c r="H567">
        <v>70</v>
      </c>
      <c r="L567" s="30">
        <v>45540</v>
      </c>
      <c r="M567">
        <v>24730</v>
      </c>
    </row>
    <row r="568" spans="2:13" x14ac:dyDescent="0.55000000000000004">
      <c r="B568" s="30">
        <v>45510</v>
      </c>
      <c r="C568">
        <v>4190</v>
      </c>
      <c r="G568" s="30">
        <v>42187</v>
      </c>
      <c r="H568">
        <v>70</v>
      </c>
      <c r="L568" s="30">
        <v>45539</v>
      </c>
      <c r="M568">
        <v>24852</v>
      </c>
    </row>
    <row r="569" spans="2:13" x14ac:dyDescent="0.55000000000000004">
      <c r="B569" s="30">
        <v>45509</v>
      </c>
      <c r="C569">
        <v>4029</v>
      </c>
      <c r="G569" s="30">
        <v>42180</v>
      </c>
      <c r="H569">
        <v>80</v>
      </c>
      <c r="L569" s="30">
        <v>45538</v>
      </c>
      <c r="M569">
        <v>24860</v>
      </c>
    </row>
    <row r="570" spans="2:13" x14ac:dyDescent="0.55000000000000004">
      <c r="B570" s="30">
        <v>45506</v>
      </c>
      <c r="C570">
        <v>4088</v>
      </c>
      <c r="G570" s="30">
        <v>42173</v>
      </c>
      <c r="H570">
        <v>100</v>
      </c>
      <c r="L570" s="30">
        <v>45537</v>
      </c>
      <c r="M570">
        <v>24860</v>
      </c>
    </row>
    <row r="571" spans="2:13" x14ac:dyDescent="0.55000000000000004">
      <c r="B571" s="30">
        <v>45505</v>
      </c>
      <c r="C571">
        <v>4083</v>
      </c>
      <c r="G571" s="30">
        <v>42166</v>
      </c>
      <c r="H571">
        <v>90</v>
      </c>
      <c r="L571" s="30">
        <v>45534</v>
      </c>
      <c r="M571">
        <v>24860</v>
      </c>
    </row>
    <row r="572" spans="2:13" x14ac:dyDescent="0.55000000000000004">
      <c r="B572" s="30">
        <v>45504</v>
      </c>
      <c r="C572">
        <v>4116</v>
      </c>
      <c r="G572" s="30">
        <v>42159</v>
      </c>
      <c r="H572">
        <v>90</v>
      </c>
      <c r="L572" s="30">
        <v>45533</v>
      </c>
      <c r="M572">
        <v>24870</v>
      </c>
    </row>
    <row r="573" spans="2:13" x14ac:dyDescent="0.55000000000000004">
      <c r="B573" s="30">
        <v>45503</v>
      </c>
      <c r="C573">
        <v>4118</v>
      </c>
      <c r="G573" s="30">
        <v>42152</v>
      </c>
      <c r="H573">
        <v>80</v>
      </c>
      <c r="L573" s="30">
        <v>45532</v>
      </c>
      <c r="M573">
        <v>24855</v>
      </c>
    </row>
    <row r="574" spans="2:13" x14ac:dyDescent="0.55000000000000004">
      <c r="B574" s="30">
        <v>45502</v>
      </c>
      <c r="C574">
        <v>4122</v>
      </c>
      <c r="G574" s="30">
        <v>42145</v>
      </c>
      <c r="H574">
        <v>70</v>
      </c>
      <c r="L574" s="30">
        <v>45531</v>
      </c>
      <c r="M574">
        <v>24820</v>
      </c>
    </row>
    <row r="575" spans="2:13" x14ac:dyDescent="0.55000000000000004">
      <c r="B575" s="30">
        <v>45499</v>
      </c>
      <c r="C575">
        <v>4150</v>
      </c>
      <c r="G575" s="30">
        <v>42137</v>
      </c>
      <c r="H575">
        <v>60</v>
      </c>
      <c r="L575" s="30">
        <v>45530</v>
      </c>
      <c r="M575">
        <v>24860</v>
      </c>
    </row>
    <row r="576" spans="2:13" x14ac:dyDescent="0.55000000000000004">
      <c r="B576" s="30">
        <v>45498</v>
      </c>
      <c r="C576">
        <v>4395</v>
      </c>
      <c r="G576" s="30">
        <v>42131</v>
      </c>
      <c r="H576">
        <v>40</v>
      </c>
      <c r="L576" s="30">
        <v>45527</v>
      </c>
      <c r="M576">
        <v>24965</v>
      </c>
    </row>
    <row r="577" spans="2:13" x14ac:dyDescent="0.55000000000000004">
      <c r="B577" s="30">
        <v>45497</v>
      </c>
      <c r="C577">
        <v>4327</v>
      </c>
      <c r="G577" s="30">
        <v>42123</v>
      </c>
      <c r="H577">
        <v>50</v>
      </c>
      <c r="L577" s="30">
        <v>45526</v>
      </c>
      <c r="M577">
        <v>24960</v>
      </c>
    </row>
    <row r="578" spans="2:13" x14ac:dyDescent="0.55000000000000004">
      <c r="B578" s="30">
        <v>45496</v>
      </c>
      <c r="C578">
        <v>4481</v>
      </c>
      <c r="G578" s="30">
        <v>42117</v>
      </c>
      <c r="H578">
        <v>80</v>
      </c>
      <c r="L578" s="30">
        <v>45525</v>
      </c>
      <c r="M578">
        <v>24930</v>
      </c>
    </row>
    <row r="579" spans="2:13" x14ac:dyDescent="0.55000000000000004">
      <c r="B579" s="30">
        <v>45495</v>
      </c>
      <c r="C579">
        <v>4581</v>
      </c>
      <c r="G579" s="30">
        <v>42109</v>
      </c>
      <c r="H579">
        <v>80</v>
      </c>
      <c r="L579" s="30">
        <v>45524</v>
      </c>
      <c r="M579">
        <v>24915</v>
      </c>
    </row>
    <row r="580" spans="2:13" x14ac:dyDescent="0.55000000000000004">
      <c r="B580" s="30">
        <v>45492</v>
      </c>
      <c r="C580">
        <v>4530</v>
      </c>
      <c r="G580" s="30">
        <v>42103</v>
      </c>
      <c r="H580">
        <v>70</v>
      </c>
      <c r="L580" s="30">
        <v>45523</v>
      </c>
      <c r="M580">
        <v>24960</v>
      </c>
    </row>
    <row r="581" spans="2:13" x14ac:dyDescent="0.55000000000000004">
      <c r="B581" s="30">
        <v>45491</v>
      </c>
      <c r="C581">
        <v>4479</v>
      </c>
      <c r="G581" s="30">
        <v>42096</v>
      </c>
      <c r="H581">
        <v>60</v>
      </c>
      <c r="L581" s="30">
        <v>45520</v>
      </c>
      <c r="M581">
        <v>25050</v>
      </c>
    </row>
    <row r="582" spans="2:13" x14ac:dyDescent="0.55000000000000004">
      <c r="B582" s="30">
        <v>45490</v>
      </c>
      <c r="C582">
        <v>4570</v>
      </c>
      <c r="G582" s="30">
        <v>42089</v>
      </c>
      <c r="H582">
        <v>40</v>
      </c>
      <c r="L582" s="30">
        <v>45519</v>
      </c>
      <c r="M582">
        <v>25035</v>
      </c>
    </row>
    <row r="583" spans="2:13" x14ac:dyDescent="0.55000000000000004">
      <c r="B583" s="30">
        <v>45489</v>
      </c>
      <c r="C583">
        <v>4572</v>
      </c>
      <c r="G583" s="30">
        <v>42082</v>
      </c>
      <c r="H583">
        <v>30</v>
      </c>
      <c r="L583" s="30">
        <v>45518</v>
      </c>
      <c r="M583">
        <v>25020</v>
      </c>
    </row>
    <row r="584" spans="2:13" x14ac:dyDescent="0.55000000000000004">
      <c r="B584" s="30">
        <v>45488</v>
      </c>
      <c r="C584">
        <v>4583</v>
      </c>
      <c r="G584" s="30">
        <v>42075</v>
      </c>
      <c r="H584">
        <v>40</v>
      </c>
      <c r="L584" s="30">
        <v>45517</v>
      </c>
      <c r="M584">
        <v>25115</v>
      </c>
    </row>
    <row r="585" spans="2:13" x14ac:dyDescent="0.55000000000000004">
      <c r="B585" s="30">
        <v>45485</v>
      </c>
      <c r="C585">
        <v>4617</v>
      </c>
      <c r="G585" s="30">
        <v>42068</v>
      </c>
      <c r="H585">
        <v>40</v>
      </c>
      <c r="L585" s="30">
        <v>45516</v>
      </c>
      <c r="M585">
        <v>25120</v>
      </c>
    </row>
    <row r="586" spans="2:13" x14ac:dyDescent="0.55000000000000004">
      <c r="B586" s="30">
        <v>45484</v>
      </c>
      <c r="C586">
        <v>4576</v>
      </c>
      <c r="G586" s="30">
        <v>42054</v>
      </c>
      <c r="H586">
        <v>-20</v>
      </c>
      <c r="L586" s="30">
        <v>45513</v>
      </c>
      <c r="M586">
        <v>25090</v>
      </c>
    </row>
    <row r="587" spans="2:13" x14ac:dyDescent="0.55000000000000004">
      <c r="B587" s="30">
        <v>45483</v>
      </c>
      <c r="C587">
        <v>4477</v>
      </c>
      <c r="G587" s="30">
        <v>42046</v>
      </c>
      <c r="H587">
        <v>-20</v>
      </c>
      <c r="L587" s="30">
        <v>45512</v>
      </c>
      <c r="M587">
        <v>25135</v>
      </c>
    </row>
    <row r="588" spans="2:13" x14ac:dyDescent="0.55000000000000004">
      <c r="B588" s="30">
        <v>45482</v>
      </c>
      <c r="C588">
        <v>4634</v>
      </c>
      <c r="G588" s="30">
        <v>42039</v>
      </c>
      <c r="H588">
        <v>-20</v>
      </c>
      <c r="L588" s="30">
        <v>45511</v>
      </c>
      <c r="M588">
        <v>25155</v>
      </c>
    </row>
    <row r="589" spans="2:13" x14ac:dyDescent="0.55000000000000004">
      <c r="B589" s="30">
        <v>45481</v>
      </c>
      <c r="C589">
        <v>4348</v>
      </c>
      <c r="G589" s="30">
        <v>42026</v>
      </c>
      <c r="H589">
        <v>-20</v>
      </c>
      <c r="L589" s="30">
        <v>45510</v>
      </c>
      <c r="M589">
        <v>25130</v>
      </c>
    </row>
    <row r="590" spans="2:13" x14ac:dyDescent="0.55000000000000004">
      <c r="B590" s="30">
        <v>45478</v>
      </c>
      <c r="C590">
        <v>4185</v>
      </c>
      <c r="G590" s="30">
        <v>42018</v>
      </c>
      <c r="H590">
        <v>-20</v>
      </c>
      <c r="L590" s="30">
        <v>45509</v>
      </c>
      <c r="M590">
        <v>25080</v>
      </c>
    </row>
    <row r="591" spans="2:13" x14ac:dyDescent="0.55000000000000004">
      <c r="B591" s="30">
        <v>45477</v>
      </c>
      <c r="C591">
        <v>4153</v>
      </c>
      <c r="G591" s="30">
        <v>41996</v>
      </c>
      <c r="H591">
        <v>-20</v>
      </c>
      <c r="L591" s="30">
        <v>45506</v>
      </c>
      <c r="M591">
        <v>25205</v>
      </c>
    </row>
    <row r="592" spans="2:13" x14ac:dyDescent="0.55000000000000004">
      <c r="B592" s="30">
        <v>45476</v>
      </c>
      <c r="C592">
        <v>4058</v>
      </c>
      <c r="G592" s="30">
        <v>41991</v>
      </c>
      <c r="H592">
        <v>-30</v>
      </c>
      <c r="L592" s="30">
        <v>45505</v>
      </c>
      <c r="M592">
        <v>25215</v>
      </c>
    </row>
    <row r="593" spans="2:13" x14ac:dyDescent="0.55000000000000004">
      <c r="B593" s="30">
        <v>45475</v>
      </c>
      <c r="C593">
        <v>4092</v>
      </c>
      <c r="G593" s="30">
        <v>41984</v>
      </c>
      <c r="H593">
        <v>-30</v>
      </c>
      <c r="L593" s="30">
        <v>45504</v>
      </c>
      <c r="M593">
        <v>25235</v>
      </c>
    </row>
    <row r="594" spans="2:13" x14ac:dyDescent="0.55000000000000004">
      <c r="B594" s="30">
        <v>45474</v>
      </c>
      <c r="C594">
        <v>4067</v>
      </c>
      <c r="G594" s="30">
        <v>41977</v>
      </c>
      <c r="H594">
        <v>-40</v>
      </c>
      <c r="L594" s="30">
        <v>45503</v>
      </c>
      <c r="M594">
        <v>25275</v>
      </c>
    </row>
    <row r="595" spans="2:13" x14ac:dyDescent="0.55000000000000004">
      <c r="B595" s="30">
        <v>45471</v>
      </c>
      <c r="C595">
        <v>4011</v>
      </c>
      <c r="G595" s="30">
        <v>41970</v>
      </c>
      <c r="H595">
        <v>-50</v>
      </c>
      <c r="L595" s="30">
        <v>45502</v>
      </c>
      <c r="M595">
        <v>25275</v>
      </c>
    </row>
    <row r="596" spans="2:13" x14ac:dyDescent="0.55000000000000004">
      <c r="B596" s="30">
        <v>45470</v>
      </c>
      <c r="C596">
        <v>4047</v>
      </c>
      <c r="G596" s="30">
        <v>41963</v>
      </c>
      <c r="H596">
        <v>-50</v>
      </c>
      <c r="L596" s="30">
        <v>45499</v>
      </c>
      <c r="M596">
        <v>25300</v>
      </c>
    </row>
    <row r="597" spans="2:13" x14ac:dyDescent="0.55000000000000004">
      <c r="B597" s="30">
        <v>45469</v>
      </c>
      <c r="C597">
        <v>4059</v>
      </c>
      <c r="G597" s="30">
        <v>41956</v>
      </c>
      <c r="H597">
        <v>-50</v>
      </c>
      <c r="L597" s="30">
        <v>45498</v>
      </c>
      <c r="M597">
        <v>25285</v>
      </c>
    </row>
    <row r="598" spans="2:13" x14ac:dyDescent="0.55000000000000004">
      <c r="B598" s="30">
        <v>45468</v>
      </c>
      <c r="C598">
        <v>4117</v>
      </c>
      <c r="G598" s="30">
        <v>41949</v>
      </c>
      <c r="H598">
        <v>-50</v>
      </c>
      <c r="L598" s="30">
        <v>45497</v>
      </c>
      <c r="M598">
        <v>25350</v>
      </c>
    </row>
    <row r="599" spans="2:13" x14ac:dyDescent="0.55000000000000004">
      <c r="B599" s="30">
        <v>45467</v>
      </c>
      <c r="C599">
        <v>4252</v>
      </c>
      <c r="G599" s="30">
        <v>41942</v>
      </c>
      <c r="H599">
        <v>-50</v>
      </c>
      <c r="L599" s="30">
        <v>45496</v>
      </c>
      <c r="M599">
        <v>25355</v>
      </c>
    </row>
    <row r="600" spans="2:13" x14ac:dyDescent="0.55000000000000004">
      <c r="B600" s="30">
        <v>45464</v>
      </c>
      <c r="C600">
        <v>4104</v>
      </c>
      <c r="G600" s="30">
        <v>41935</v>
      </c>
      <c r="H600">
        <v>-40</v>
      </c>
      <c r="L600" s="30">
        <v>45495</v>
      </c>
      <c r="M600">
        <v>25325</v>
      </c>
    </row>
    <row r="601" spans="2:13" x14ac:dyDescent="0.55000000000000004">
      <c r="B601" s="30">
        <v>45463</v>
      </c>
      <c r="C601">
        <v>4176</v>
      </c>
      <c r="G601" s="30">
        <v>41928</v>
      </c>
      <c r="H601">
        <v>-50</v>
      </c>
      <c r="L601" s="30">
        <v>45492</v>
      </c>
      <c r="M601">
        <v>25315</v>
      </c>
    </row>
    <row r="602" spans="2:13" x14ac:dyDescent="0.55000000000000004">
      <c r="B602" s="30">
        <v>45462</v>
      </c>
      <c r="C602">
        <v>4060</v>
      </c>
      <c r="G602" s="30">
        <v>41921</v>
      </c>
      <c r="H602">
        <v>-40</v>
      </c>
      <c r="L602" s="30">
        <v>45491</v>
      </c>
      <c r="M602">
        <v>25310</v>
      </c>
    </row>
    <row r="603" spans="2:13" x14ac:dyDescent="0.55000000000000004">
      <c r="B603" s="30">
        <v>45461</v>
      </c>
      <c r="C603">
        <v>3994</v>
      </c>
      <c r="G603" s="30">
        <v>41914</v>
      </c>
      <c r="H603">
        <v>-30</v>
      </c>
      <c r="L603" s="30">
        <v>45490</v>
      </c>
      <c r="M603">
        <v>25315</v>
      </c>
    </row>
    <row r="604" spans="2:13" x14ac:dyDescent="0.55000000000000004">
      <c r="B604" s="30">
        <v>45460</v>
      </c>
      <c r="C604">
        <v>4057</v>
      </c>
      <c r="G604" s="30">
        <v>41907</v>
      </c>
      <c r="H604">
        <v>-20</v>
      </c>
      <c r="L604" s="30">
        <v>45489</v>
      </c>
      <c r="M604">
        <v>25375</v>
      </c>
    </row>
    <row r="605" spans="2:13" x14ac:dyDescent="0.55000000000000004">
      <c r="B605" s="30">
        <v>45457</v>
      </c>
      <c r="C605">
        <v>4009</v>
      </c>
      <c r="G605" s="30">
        <v>41900</v>
      </c>
      <c r="H605">
        <v>-30</v>
      </c>
      <c r="L605" s="30">
        <v>45488</v>
      </c>
      <c r="M605">
        <v>25360</v>
      </c>
    </row>
    <row r="606" spans="2:13" x14ac:dyDescent="0.55000000000000004">
      <c r="B606" s="30">
        <v>45456</v>
      </c>
      <c r="C606">
        <v>4093</v>
      </c>
      <c r="G606" s="30">
        <v>41893</v>
      </c>
      <c r="H606">
        <v>-40</v>
      </c>
      <c r="L606" s="30">
        <v>45485</v>
      </c>
      <c r="M606">
        <v>25410</v>
      </c>
    </row>
    <row r="607" spans="2:13" x14ac:dyDescent="0.55000000000000004">
      <c r="B607" s="30">
        <v>45455</v>
      </c>
      <c r="C607">
        <v>4086</v>
      </c>
      <c r="G607" s="30">
        <v>41886</v>
      </c>
      <c r="H607">
        <v>-40</v>
      </c>
      <c r="L607" s="30">
        <v>45484</v>
      </c>
      <c r="M607">
        <v>25423</v>
      </c>
    </row>
    <row r="608" spans="2:13" x14ac:dyDescent="0.55000000000000004">
      <c r="B608" s="30">
        <v>45454</v>
      </c>
      <c r="C608">
        <v>4053</v>
      </c>
      <c r="G608" s="30">
        <v>41879</v>
      </c>
      <c r="H608">
        <v>-30</v>
      </c>
      <c r="L608" s="30">
        <v>45483</v>
      </c>
      <c r="M608">
        <v>25415</v>
      </c>
    </row>
    <row r="609" spans="2:13" x14ac:dyDescent="0.55000000000000004">
      <c r="B609" s="30">
        <v>45453</v>
      </c>
      <c r="C609">
        <v>4082</v>
      </c>
      <c r="G609" s="30">
        <v>41872</v>
      </c>
      <c r="H609">
        <v>-30</v>
      </c>
      <c r="L609" s="30">
        <v>45482</v>
      </c>
      <c r="M609">
        <v>25413</v>
      </c>
    </row>
    <row r="610" spans="2:13" x14ac:dyDescent="0.55000000000000004">
      <c r="B610" s="30">
        <v>45450</v>
      </c>
      <c r="C610">
        <v>4128</v>
      </c>
      <c r="G610" s="30">
        <v>41851</v>
      </c>
      <c r="H610">
        <v>-20</v>
      </c>
      <c r="L610" s="30">
        <v>45481</v>
      </c>
      <c r="M610">
        <v>25415</v>
      </c>
    </row>
    <row r="611" spans="2:13" x14ac:dyDescent="0.55000000000000004">
      <c r="B611" s="30">
        <v>45449</v>
      </c>
      <c r="C611">
        <v>4294</v>
      </c>
      <c r="G611" s="30">
        <v>41844</v>
      </c>
      <c r="H611">
        <v>5</v>
      </c>
      <c r="L611" s="30">
        <v>45478</v>
      </c>
      <c r="M611">
        <v>25412</v>
      </c>
    </row>
    <row r="612" spans="2:13" x14ac:dyDescent="0.55000000000000004">
      <c r="B612" s="30">
        <v>45448</v>
      </c>
      <c r="C612">
        <v>4322</v>
      </c>
      <c r="G612" s="30">
        <v>41837</v>
      </c>
      <c r="H612">
        <v>10</v>
      </c>
      <c r="L612" s="30">
        <v>45477</v>
      </c>
      <c r="M612">
        <v>25450</v>
      </c>
    </row>
    <row r="613" spans="2:13" x14ac:dyDescent="0.55000000000000004">
      <c r="B613" s="30">
        <v>45447</v>
      </c>
      <c r="C613">
        <v>4189</v>
      </c>
      <c r="G613" s="30">
        <v>41823</v>
      </c>
      <c r="H613">
        <v>10</v>
      </c>
      <c r="L613" s="30">
        <v>45476</v>
      </c>
      <c r="M613">
        <v>25450</v>
      </c>
    </row>
    <row r="614" spans="2:13" x14ac:dyDescent="0.55000000000000004">
      <c r="B614" s="30">
        <v>45446</v>
      </c>
      <c r="C614">
        <v>4110</v>
      </c>
      <c r="G614" s="30">
        <v>41816</v>
      </c>
      <c r="H614">
        <v>20</v>
      </c>
      <c r="L614" s="30">
        <v>45475</v>
      </c>
      <c r="M614">
        <v>25450</v>
      </c>
    </row>
    <row r="615" spans="2:13" x14ac:dyDescent="0.55000000000000004">
      <c r="B615" s="30">
        <v>45443</v>
      </c>
      <c r="C615">
        <v>3987</v>
      </c>
      <c r="G615" s="30">
        <v>41809</v>
      </c>
      <c r="H615">
        <v>10</v>
      </c>
      <c r="L615" s="30">
        <v>45474</v>
      </c>
      <c r="M615">
        <v>25450</v>
      </c>
    </row>
    <row r="616" spans="2:13" x14ac:dyDescent="0.55000000000000004">
      <c r="B616" s="30">
        <v>45442</v>
      </c>
      <c r="C616">
        <v>4131</v>
      </c>
      <c r="G616" s="30">
        <v>41802</v>
      </c>
      <c r="H616">
        <v>-10</v>
      </c>
      <c r="L616" s="30">
        <v>45471</v>
      </c>
      <c r="M616">
        <v>25445</v>
      </c>
    </row>
    <row r="617" spans="2:13" x14ac:dyDescent="0.55000000000000004">
      <c r="B617" s="30">
        <v>45441</v>
      </c>
      <c r="C617">
        <v>4042</v>
      </c>
      <c r="G617" s="30">
        <v>41795</v>
      </c>
      <c r="H617">
        <v>-10</v>
      </c>
      <c r="L617" s="30">
        <v>45470</v>
      </c>
      <c r="M617">
        <v>25455</v>
      </c>
    </row>
    <row r="618" spans="2:13" x14ac:dyDescent="0.55000000000000004">
      <c r="B618" s="30">
        <v>45440</v>
      </c>
      <c r="C618">
        <v>4025</v>
      </c>
      <c r="G618" s="30">
        <v>41787</v>
      </c>
      <c r="H618">
        <v>-20</v>
      </c>
      <c r="L618" s="30">
        <v>45469</v>
      </c>
      <c r="M618">
        <v>25465</v>
      </c>
    </row>
    <row r="619" spans="2:13" x14ac:dyDescent="0.55000000000000004">
      <c r="B619" s="30">
        <v>45436</v>
      </c>
      <c r="C619">
        <v>3892</v>
      </c>
      <c r="G619" s="30">
        <v>41781</v>
      </c>
      <c r="H619">
        <v>-30</v>
      </c>
      <c r="L619" s="30">
        <v>45468</v>
      </c>
      <c r="M619">
        <v>25455</v>
      </c>
    </row>
    <row r="620" spans="2:13" x14ac:dyDescent="0.55000000000000004">
      <c r="B620" s="30">
        <v>45435</v>
      </c>
      <c r="C620">
        <v>3819</v>
      </c>
      <c r="G620" s="30">
        <v>41774</v>
      </c>
      <c r="H620">
        <v>-20</v>
      </c>
      <c r="L620" s="30">
        <v>45467</v>
      </c>
      <c r="M620">
        <v>25455</v>
      </c>
    </row>
    <row r="621" spans="2:13" x14ac:dyDescent="0.55000000000000004">
      <c r="B621" s="30">
        <v>45434</v>
      </c>
      <c r="C621">
        <v>3917</v>
      </c>
      <c r="G621" s="30">
        <v>41766</v>
      </c>
      <c r="H621">
        <v>-50</v>
      </c>
      <c r="L621" s="30">
        <v>45464</v>
      </c>
      <c r="M621">
        <v>25450</v>
      </c>
    </row>
    <row r="622" spans="2:13" x14ac:dyDescent="0.55000000000000004">
      <c r="B622" s="30">
        <v>45433</v>
      </c>
      <c r="C622">
        <v>3734</v>
      </c>
      <c r="G622" s="30">
        <v>41759</v>
      </c>
      <c r="H622">
        <v>-25</v>
      </c>
      <c r="L622" s="30">
        <v>45463</v>
      </c>
      <c r="M622">
        <v>25450</v>
      </c>
    </row>
    <row r="623" spans="2:13" x14ac:dyDescent="0.55000000000000004">
      <c r="B623" s="30">
        <v>45432</v>
      </c>
      <c r="C623">
        <v>3499</v>
      </c>
      <c r="G623" s="30">
        <v>41753</v>
      </c>
      <c r="H623">
        <v>-30</v>
      </c>
      <c r="L623" s="30">
        <v>45462</v>
      </c>
      <c r="M623">
        <v>25450</v>
      </c>
    </row>
    <row r="624" spans="2:13" x14ac:dyDescent="0.55000000000000004">
      <c r="B624" s="30">
        <v>45429</v>
      </c>
      <c r="C624">
        <v>3518</v>
      </c>
      <c r="G624" s="30">
        <v>41746</v>
      </c>
      <c r="H624">
        <v>-30</v>
      </c>
      <c r="L624" s="30">
        <v>45461</v>
      </c>
      <c r="M624">
        <v>25445</v>
      </c>
    </row>
    <row r="625" spans="2:13" x14ac:dyDescent="0.55000000000000004">
      <c r="B625" s="30">
        <v>45428</v>
      </c>
      <c r="C625">
        <v>3420</v>
      </c>
      <c r="G625" s="30">
        <v>41739</v>
      </c>
      <c r="H625">
        <v>-30</v>
      </c>
      <c r="L625" s="30">
        <v>45460</v>
      </c>
      <c r="M625">
        <v>25450</v>
      </c>
    </row>
    <row r="626" spans="2:13" x14ac:dyDescent="0.55000000000000004">
      <c r="B626" s="30">
        <v>45427</v>
      </c>
      <c r="C626">
        <v>3402</v>
      </c>
      <c r="G626" s="30">
        <v>41732</v>
      </c>
      <c r="H626">
        <v>-20</v>
      </c>
      <c r="L626" s="30">
        <v>45457</v>
      </c>
      <c r="M626">
        <v>25450</v>
      </c>
    </row>
    <row r="627" spans="2:13" x14ac:dyDescent="0.55000000000000004">
      <c r="B627" s="30">
        <v>45426</v>
      </c>
      <c r="C627">
        <v>3433</v>
      </c>
      <c r="G627" s="30">
        <v>41725</v>
      </c>
      <c r="H627">
        <v>-20</v>
      </c>
      <c r="L627" s="30">
        <v>45456</v>
      </c>
      <c r="M627">
        <v>25435</v>
      </c>
    </row>
    <row r="628" spans="2:13" x14ac:dyDescent="0.55000000000000004">
      <c r="B628" s="30">
        <v>45425</v>
      </c>
      <c r="C628">
        <v>3399</v>
      </c>
      <c r="G628" s="30">
        <v>41718</v>
      </c>
      <c r="H628">
        <v>-30</v>
      </c>
      <c r="L628" s="30">
        <v>45455</v>
      </c>
      <c r="M628">
        <v>25435</v>
      </c>
    </row>
    <row r="629" spans="2:13" x14ac:dyDescent="0.55000000000000004">
      <c r="B629" s="30">
        <v>45422</v>
      </c>
      <c r="C629">
        <v>3440</v>
      </c>
      <c r="G629" s="30">
        <v>41711</v>
      </c>
      <c r="H629">
        <v>-40</v>
      </c>
      <c r="L629" s="30">
        <v>45454</v>
      </c>
      <c r="M629">
        <v>25435</v>
      </c>
    </row>
    <row r="630" spans="2:13" x14ac:dyDescent="0.55000000000000004">
      <c r="B630" s="30">
        <v>45421</v>
      </c>
      <c r="C630">
        <v>3439</v>
      </c>
      <c r="G630" s="30">
        <v>41704</v>
      </c>
      <c r="H630">
        <v>-30</v>
      </c>
      <c r="L630" s="30">
        <v>45453</v>
      </c>
      <c r="M630">
        <v>25415</v>
      </c>
    </row>
    <row r="631" spans="2:13" x14ac:dyDescent="0.55000000000000004">
      <c r="B631" s="30">
        <v>45420</v>
      </c>
      <c r="C631">
        <v>3414</v>
      </c>
      <c r="G631" s="30">
        <v>41697</v>
      </c>
      <c r="H631">
        <v>-20</v>
      </c>
      <c r="L631" s="30">
        <v>45450</v>
      </c>
      <c r="M631">
        <v>25400</v>
      </c>
    </row>
    <row r="632" spans="2:13" x14ac:dyDescent="0.55000000000000004">
      <c r="B632" s="30">
        <v>45419</v>
      </c>
      <c r="C632">
        <v>3378</v>
      </c>
      <c r="G632" s="30">
        <v>41690</v>
      </c>
      <c r="H632">
        <v>-10</v>
      </c>
      <c r="L632" s="30">
        <v>45449</v>
      </c>
      <c r="M632">
        <v>25420</v>
      </c>
    </row>
    <row r="633" spans="2:13" x14ac:dyDescent="0.55000000000000004">
      <c r="B633" s="30">
        <v>45415</v>
      </c>
      <c r="C633">
        <v>3541</v>
      </c>
      <c r="G633" s="30">
        <v>41676</v>
      </c>
      <c r="H633">
        <v>10</v>
      </c>
      <c r="L633" s="30">
        <v>45448</v>
      </c>
      <c r="M633">
        <v>25415</v>
      </c>
    </row>
    <row r="634" spans="2:13" x14ac:dyDescent="0.55000000000000004">
      <c r="B634" s="30">
        <v>45414</v>
      </c>
      <c r="C634">
        <v>3680</v>
      </c>
      <c r="G634" s="30">
        <v>41669</v>
      </c>
      <c r="H634">
        <v>30</v>
      </c>
      <c r="L634" s="30">
        <v>45447</v>
      </c>
      <c r="M634">
        <v>25410</v>
      </c>
    </row>
    <row r="635" spans="2:13" x14ac:dyDescent="0.55000000000000004">
      <c r="B635" s="30">
        <v>45413</v>
      </c>
      <c r="C635">
        <v>3978</v>
      </c>
      <c r="G635" s="30">
        <v>41662</v>
      </c>
      <c r="H635">
        <v>20</v>
      </c>
      <c r="L635" s="30">
        <v>45446</v>
      </c>
      <c r="M635">
        <v>25432</v>
      </c>
    </row>
    <row r="636" spans="2:13" x14ac:dyDescent="0.55000000000000004">
      <c r="B636" s="30">
        <v>45412</v>
      </c>
      <c r="C636">
        <v>4021</v>
      </c>
      <c r="G636" s="30">
        <v>41655</v>
      </c>
      <c r="H636">
        <v>20</v>
      </c>
      <c r="L636" s="30">
        <v>45443</v>
      </c>
      <c r="M636">
        <v>25440</v>
      </c>
    </row>
    <row r="637" spans="2:13" x14ac:dyDescent="0.55000000000000004">
      <c r="B637" s="30">
        <v>45411</v>
      </c>
      <c r="C637">
        <v>4164</v>
      </c>
      <c r="G637" s="30">
        <v>41648</v>
      </c>
      <c r="H637">
        <v>20</v>
      </c>
      <c r="L637" s="30">
        <v>45442</v>
      </c>
      <c r="M637">
        <v>25450</v>
      </c>
    </row>
    <row r="638" spans="2:13" x14ac:dyDescent="0.55000000000000004">
      <c r="B638" s="30">
        <v>45408</v>
      </c>
      <c r="C638">
        <v>4151</v>
      </c>
      <c r="G638" s="30">
        <v>41627</v>
      </c>
      <c r="H638">
        <v>40</v>
      </c>
      <c r="L638" s="30">
        <v>45441</v>
      </c>
      <c r="M638">
        <v>25450</v>
      </c>
    </row>
    <row r="639" spans="2:13" x14ac:dyDescent="0.55000000000000004">
      <c r="B639" s="30">
        <v>45407</v>
      </c>
      <c r="C639">
        <v>4304</v>
      </c>
      <c r="G639" s="30">
        <v>41621</v>
      </c>
      <c r="H639">
        <v>40</v>
      </c>
      <c r="L639" s="30">
        <v>45440</v>
      </c>
      <c r="M639">
        <v>25448</v>
      </c>
    </row>
    <row r="640" spans="2:13" x14ac:dyDescent="0.55000000000000004">
      <c r="B640" s="30">
        <v>45406</v>
      </c>
      <c r="C640">
        <v>4266</v>
      </c>
      <c r="G640" s="30">
        <v>41613</v>
      </c>
      <c r="H640">
        <v>30</v>
      </c>
      <c r="L640" s="30">
        <v>45439</v>
      </c>
      <c r="M640">
        <v>25445</v>
      </c>
    </row>
    <row r="641" spans="2:13" x14ac:dyDescent="0.55000000000000004">
      <c r="B641" s="30">
        <v>45405</v>
      </c>
      <c r="C641">
        <v>4117</v>
      </c>
      <c r="G641" s="30">
        <v>41611</v>
      </c>
      <c r="H641">
        <v>20</v>
      </c>
      <c r="L641" s="30">
        <v>45436</v>
      </c>
      <c r="M641">
        <v>25465</v>
      </c>
    </row>
    <row r="642" spans="2:13" x14ac:dyDescent="0.55000000000000004">
      <c r="B642" s="30">
        <v>45404</v>
      </c>
      <c r="C642">
        <v>4133</v>
      </c>
      <c r="G642" s="30">
        <v>41599</v>
      </c>
      <c r="H642">
        <v>20</v>
      </c>
      <c r="L642" s="30">
        <v>45435</v>
      </c>
      <c r="M642">
        <v>25469</v>
      </c>
    </row>
    <row r="643" spans="2:13" x14ac:dyDescent="0.55000000000000004">
      <c r="B643" s="30">
        <v>45401</v>
      </c>
      <c r="C643">
        <v>4080</v>
      </c>
      <c r="G643" s="30">
        <v>41593</v>
      </c>
      <c r="H643">
        <v>20</v>
      </c>
      <c r="L643" s="30">
        <v>45434</v>
      </c>
      <c r="M643">
        <v>25464</v>
      </c>
    </row>
    <row r="644" spans="2:13" x14ac:dyDescent="0.55000000000000004">
      <c r="B644" s="30">
        <v>45400</v>
      </c>
      <c r="C644">
        <v>4062</v>
      </c>
      <c r="G644" s="30">
        <v>41585</v>
      </c>
      <c r="H644">
        <v>20</v>
      </c>
      <c r="L644" s="30">
        <v>45433</v>
      </c>
      <c r="M644">
        <v>25461</v>
      </c>
    </row>
    <row r="645" spans="2:13" x14ac:dyDescent="0.55000000000000004">
      <c r="B645" s="30">
        <v>45399</v>
      </c>
      <c r="C645">
        <v>4195</v>
      </c>
      <c r="G645" s="30">
        <v>41578</v>
      </c>
      <c r="H645">
        <v>30</v>
      </c>
      <c r="L645" s="30">
        <v>45432</v>
      </c>
      <c r="M645">
        <v>25452</v>
      </c>
    </row>
    <row r="646" spans="2:13" x14ac:dyDescent="0.55000000000000004">
      <c r="B646" s="30">
        <v>45398</v>
      </c>
      <c r="C646">
        <v>3977</v>
      </c>
      <c r="G646" s="30">
        <v>41571</v>
      </c>
      <c r="H646">
        <v>30</v>
      </c>
      <c r="L646" s="30">
        <v>45429</v>
      </c>
      <c r="M646">
        <v>25448</v>
      </c>
    </row>
    <row r="647" spans="2:13" x14ac:dyDescent="0.55000000000000004">
      <c r="B647" s="30">
        <v>45397</v>
      </c>
      <c r="C647">
        <v>3949</v>
      </c>
      <c r="G647" s="30">
        <v>41564</v>
      </c>
      <c r="H647">
        <v>30</v>
      </c>
      <c r="L647" s="30">
        <v>45428</v>
      </c>
      <c r="M647">
        <v>25431</v>
      </c>
    </row>
    <row r="648" spans="2:13" x14ac:dyDescent="0.55000000000000004">
      <c r="B648" s="30">
        <v>45394</v>
      </c>
      <c r="C648">
        <v>3852</v>
      </c>
      <c r="G648" s="30">
        <v>41557</v>
      </c>
      <c r="H648">
        <v>30</v>
      </c>
      <c r="L648" s="30">
        <v>45427</v>
      </c>
      <c r="M648">
        <v>25445</v>
      </c>
    </row>
    <row r="649" spans="2:13" x14ac:dyDescent="0.55000000000000004">
      <c r="B649" s="30">
        <v>45393</v>
      </c>
      <c r="C649">
        <v>3790</v>
      </c>
      <c r="G649" s="30">
        <v>41550</v>
      </c>
      <c r="H649">
        <v>30</v>
      </c>
      <c r="L649" s="30">
        <v>45426</v>
      </c>
      <c r="M649">
        <v>25450</v>
      </c>
    </row>
    <row r="650" spans="2:13" x14ac:dyDescent="0.55000000000000004">
      <c r="B650" s="30">
        <v>45392</v>
      </c>
      <c r="C650">
        <v>3715</v>
      </c>
      <c r="G650" s="30">
        <v>41543</v>
      </c>
      <c r="H650">
        <v>30</v>
      </c>
      <c r="L650" s="30">
        <v>45425</v>
      </c>
      <c r="M650">
        <v>25453</v>
      </c>
    </row>
    <row r="651" spans="2:13" x14ac:dyDescent="0.55000000000000004">
      <c r="B651" s="30">
        <v>45391</v>
      </c>
      <c r="C651">
        <v>3673</v>
      </c>
      <c r="G651" s="30">
        <v>41536</v>
      </c>
      <c r="H651">
        <v>80</v>
      </c>
      <c r="L651" s="30">
        <v>45422</v>
      </c>
      <c r="M651">
        <v>25450</v>
      </c>
    </row>
    <row r="652" spans="2:13" x14ac:dyDescent="0.55000000000000004">
      <c r="B652" s="30">
        <v>45390</v>
      </c>
      <c r="C652">
        <v>3683</v>
      </c>
      <c r="G652" s="30">
        <v>41529</v>
      </c>
      <c r="H652">
        <v>80</v>
      </c>
      <c r="L652" s="30">
        <v>45421</v>
      </c>
      <c r="M652">
        <v>25440</v>
      </c>
    </row>
    <row r="653" spans="2:13" x14ac:dyDescent="0.55000000000000004">
      <c r="B653" s="30">
        <v>45387</v>
      </c>
      <c r="C653">
        <v>3679</v>
      </c>
      <c r="G653" s="30">
        <v>41522</v>
      </c>
      <c r="H653">
        <v>80</v>
      </c>
      <c r="L653" s="30">
        <v>45420</v>
      </c>
      <c r="M653">
        <v>25425</v>
      </c>
    </row>
    <row r="654" spans="2:13" x14ac:dyDescent="0.55000000000000004">
      <c r="B654" s="30">
        <v>45386</v>
      </c>
      <c r="C654">
        <v>3698</v>
      </c>
      <c r="G654" s="30">
        <v>41515</v>
      </c>
      <c r="H654">
        <v>80</v>
      </c>
      <c r="L654" s="30">
        <v>45419</v>
      </c>
      <c r="M654">
        <v>25400</v>
      </c>
    </row>
    <row r="655" spans="2:13" x14ac:dyDescent="0.55000000000000004">
      <c r="B655" s="30">
        <v>45385</v>
      </c>
      <c r="C655">
        <v>3727</v>
      </c>
      <c r="G655" s="30">
        <v>41508</v>
      </c>
      <c r="H655">
        <v>70</v>
      </c>
      <c r="L655" s="30">
        <v>45418</v>
      </c>
      <c r="M655">
        <v>25370</v>
      </c>
    </row>
    <row r="656" spans="2:13" x14ac:dyDescent="0.55000000000000004">
      <c r="B656" s="30">
        <v>45384</v>
      </c>
      <c r="C656">
        <v>3580</v>
      </c>
      <c r="G656" s="30">
        <v>41502</v>
      </c>
      <c r="H656">
        <v>80</v>
      </c>
      <c r="L656" s="30">
        <v>45415</v>
      </c>
      <c r="M656">
        <v>25400</v>
      </c>
    </row>
    <row r="657" spans="2:13" x14ac:dyDescent="0.55000000000000004">
      <c r="B657" s="30">
        <v>45379</v>
      </c>
      <c r="C657">
        <v>3396</v>
      </c>
      <c r="G657" s="30">
        <v>41494</v>
      </c>
      <c r="H657">
        <v>80</v>
      </c>
      <c r="L657" s="30">
        <v>45414</v>
      </c>
      <c r="M657">
        <v>25390</v>
      </c>
    </row>
    <row r="658" spans="2:13" x14ac:dyDescent="0.55000000000000004">
      <c r="B658" s="30">
        <v>45378</v>
      </c>
      <c r="C658">
        <v>3467</v>
      </c>
      <c r="G658" s="30">
        <v>41491</v>
      </c>
      <c r="H658">
        <v>80</v>
      </c>
      <c r="L658" s="30">
        <v>45413</v>
      </c>
      <c r="M658">
        <v>25330</v>
      </c>
    </row>
    <row r="659" spans="2:13" x14ac:dyDescent="0.55000000000000004">
      <c r="B659" s="30">
        <v>45377</v>
      </c>
      <c r="C659">
        <v>3375</v>
      </c>
      <c r="G659" s="30">
        <v>41480</v>
      </c>
      <c r="H659">
        <v>90</v>
      </c>
      <c r="L659" s="30">
        <v>45412</v>
      </c>
      <c r="M659">
        <v>25330</v>
      </c>
    </row>
    <row r="660" spans="2:13" x14ac:dyDescent="0.55000000000000004">
      <c r="B660" s="30">
        <v>45376</v>
      </c>
      <c r="C660">
        <v>3326</v>
      </c>
      <c r="G660" s="30">
        <v>41473</v>
      </c>
      <c r="H660">
        <v>90</v>
      </c>
      <c r="L660" s="30">
        <v>45411</v>
      </c>
      <c r="M660">
        <v>25330</v>
      </c>
    </row>
    <row r="661" spans="2:13" x14ac:dyDescent="0.55000000000000004">
      <c r="B661" s="30">
        <v>45373</v>
      </c>
      <c r="C661">
        <v>3358</v>
      </c>
      <c r="G661" s="30">
        <v>41466</v>
      </c>
      <c r="H661">
        <v>90</v>
      </c>
      <c r="L661" s="30">
        <v>45408</v>
      </c>
      <c r="M661">
        <v>25330</v>
      </c>
    </row>
    <row r="662" spans="2:13" x14ac:dyDescent="0.55000000000000004">
      <c r="B662" s="30">
        <v>45372</v>
      </c>
      <c r="C662">
        <v>3385</v>
      </c>
      <c r="G662" s="30">
        <v>41459</v>
      </c>
      <c r="H662">
        <v>90</v>
      </c>
      <c r="L662" s="30">
        <v>45407</v>
      </c>
      <c r="M662">
        <v>25350</v>
      </c>
    </row>
    <row r="663" spans="2:13" x14ac:dyDescent="0.55000000000000004">
      <c r="B663" s="30">
        <v>45371</v>
      </c>
      <c r="C663">
        <v>3315</v>
      </c>
      <c r="G663" s="30">
        <v>41452</v>
      </c>
      <c r="H663">
        <v>90</v>
      </c>
      <c r="L663" s="30">
        <v>45406</v>
      </c>
      <c r="M663">
        <v>25405</v>
      </c>
    </row>
    <row r="664" spans="2:13" x14ac:dyDescent="0.55000000000000004">
      <c r="B664" s="30">
        <v>45370</v>
      </c>
      <c r="C664">
        <v>3354</v>
      </c>
      <c r="G664" s="30">
        <v>41445</v>
      </c>
      <c r="H664">
        <v>80</v>
      </c>
      <c r="L664" s="30">
        <v>45405</v>
      </c>
      <c r="M664">
        <v>25440</v>
      </c>
    </row>
    <row r="665" spans="2:13" x14ac:dyDescent="0.55000000000000004">
      <c r="B665" s="30">
        <v>45369</v>
      </c>
      <c r="C665">
        <v>3343</v>
      </c>
      <c r="G665" s="30">
        <v>41438</v>
      </c>
      <c r="H665">
        <v>150</v>
      </c>
      <c r="L665" s="30">
        <v>45404</v>
      </c>
      <c r="M665">
        <v>25455</v>
      </c>
    </row>
    <row r="666" spans="2:13" x14ac:dyDescent="0.55000000000000004">
      <c r="B666" s="30">
        <v>45366</v>
      </c>
      <c r="C666">
        <v>3308</v>
      </c>
      <c r="G666" s="30">
        <v>41431</v>
      </c>
      <c r="H666">
        <v>75</v>
      </c>
      <c r="L666" s="30">
        <v>45401</v>
      </c>
      <c r="M666">
        <v>25440</v>
      </c>
    </row>
    <row r="667" spans="2:13" x14ac:dyDescent="0.55000000000000004">
      <c r="B667" s="30">
        <v>45365</v>
      </c>
      <c r="C667">
        <v>3277</v>
      </c>
      <c r="G667" s="30">
        <v>41424</v>
      </c>
      <c r="H667">
        <v>70</v>
      </c>
      <c r="L667" s="30">
        <v>45400</v>
      </c>
      <c r="M667">
        <v>25400</v>
      </c>
    </row>
    <row r="668" spans="2:13" x14ac:dyDescent="0.55000000000000004">
      <c r="B668" s="30">
        <v>45364</v>
      </c>
      <c r="C668">
        <v>3260</v>
      </c>
      <c r="G668" s="30">
        <v>41417</v>
      </c>
      <c r="H668">
        <v>70</v>
      </c>
      <c r="L668" s="30">
        <v>45399</v>
      </c>
      <c r="M668">
        <v>25400</v>
      </c>
    </row>
    <row r="669" spans="2:13" x14ac:dyDescent="0.55000000000000004">
      <c r="B669" s="30">
        <v>45363</v>
      </c>
      <c r="C669">
        <v>3307</v>
      </c>
      <c r="G669" s="30">
        <v>41410</v>
      </c>
      <c r="H669">
        <v>90</v>
      </c>
      <c r="L669" s="30">
        <v>45398</v>
      </c>
      <c r="M669">
        <v>25280</v>
      </c>
    </row>
    <row r="670" spans="2:13" x14ac:dyDescent="0.55000000000000004">
      <c r="B670" s="30">
        <v>45362</v>
      </c>
      <c r="C670">
        <v>3279</v>
      </c>
      <c r="G670" s="30">
        <v>41396</v>
      </c>
      <c r="H670">
        <v>80</v>
      </c>
      <c r="L670" s="30">
        <v>45397</v>
      </c>
      <c r="M670">
        <v>25180</v>
      </c>
    </row>
    <row r="671" spans="2:13" x14ac:dyDescent="0.55000000000000004">
      <c r="B671" s="30">
        <v>45359</v>
      </c>
      <c r="C671">
        <v>3297</v>
      </c>
      <c r="G671" s="30">
        <v>41389</v>
      </c>
      <c r="H671">
        <v>40</v>
      </c>
      <c r="L671" s="30">
        <v>45394</v>
      </c>
      <c r="M671">
        <v>25015</v>
      </c>
    </row>
    <row r="672" spans="2:13" x14ac:dyDescent="0.55000000000000004">
      <c r="B672" s="30">
        <v>45358</v>
      </c>
      <c r="C672">
        <v>3381</v>
      </c>
      <c r="G672" s="30">
        <v>41382</v>
      </c>
      <c r="H672">
        <v>40</v>
      </c>
      <c r="L672" s="30">
        <v>45393</v>
      </c>
      <c r="M672">
        <v>24980</v>
      </c>
    </row>
    <row r="673" spans="2:13" x14ac:dyDescent="0.55000000000000004">
      <c r="B673" s="30">
        <v>45357</v>
      </c>
      <c r="C673">
        <v>3309</v>
      </c>
      <c r="G673" s="30">
        <v>41375</v>
      </c>
      <c r="H673">
        <v>40</v>
      </c>
      <c r="L673" s="30">
        <v>45392</v>
      </c>
      <c r="M673">
        <v>24935</v>
      </c>
    </row>
    <row r="674" spans="2:13" x14ac:dyDescent="0.55000000000000004">
      <c r="B674" s="30">
        <v>45356</v>
      </c>
      <c r="C674">
        <v>3180</v>
      </c>
      <c r="G674" s="30">
        <v>41368</v>
      </c>
      <c r="H674">
        <v>40</v>
      </c>
      <c r="L674" s="30">
        <v>45391</v>
      </c>
      <c r="M674">
        <v>24945</v>
      </c>
    </row>
    <row r="675" spans="2:13" x14ac:dyDescent="0.55000000000000004">
      <c r="B675" s="30">
        <v>45355</v>
      </c>
      <c r="C675">
        <v>3189</v>
      </c>
      <c r="G675" s="30">
        <v>41361</v>
      </c>
      <c r="H675">
        <v>40</v>
      </c>
      <c r="L675" s="30">
        <v>45390</v>
      </c>
      <c r="M675">
        <v>24960</v>
      </c>
    </row>
    <row r="676" spans="2:13" x14ac:dyDescent="0.55000000000000004">
      <c r="B676" s="30">
        <v>45352</v>
      </c>
      <c r="C676">
        <v>3143</v>
      </c>
      <c r="G676" s="30">
        <v>41354</v>
      </c>
      <c r="H676">
        <v>50</v>
      </c>
      <c r="L676" s="30">
        <v>45387</v>
      </c>
      <c r="M676">
        <v>24950</v>
      </c>
    </row>
    <row r="677" spans="2:13" x14ac:dyDescent="0.55000000000000004">
      <c r="B677" s="30">
        <v>45351</v>
      </c>
      <c r="C677">
        <v>3095</v>
      </c>
      <c r="L677" s="30">
        <v>45386</v>
      </c>
      <c r="M677">
        <v>24935</v>
      </c>
    </row>
    <row r="678" spans="2:13" x14ac:dyDescent="0.55000000000000004">
      <c r="B678" s="30">
        <v>45350</v>
      </c>
      <c r="C678">
        <v>3044</v>
      </c>
      <c r="L678" s="30">
        <v>45385</v>
      </c>
      <c r="M678">
        <v>25000</v>
      </c>
    </row>
    <row r="679" spans="2:13" x14ac:dyDescent="0.55000000000000004">
      <c r="B679" s="30">
        <v>45349</v>
      </c>
      <c r="C679">
        <v>3077</v>
      </c>
      <c r="L679" s="30">
        <v>45384</v>
      </c>
      <c r="M679">
        <v>24900</v>
      </c>
    </row>
    <row r="680" spans="2:13" x14ac:dyDescent="0.55000000000000004">
      <c r="B680" s="30">
        <v>45348</v>
      </c>
      <c r="C680">
        <v>3020</v>
      </c>
      <c r="L680" s="30">
        <v>45383</v>
      </c>
      <c r="M680">
        <v>24795</v>
      </c>
    </row>
    <row r="681" spans="2:13" x14ac:dyDescent="0.55000000000000004">
      <c r="B681" s="30">
        <v>45345</v>
      </c>
      <c r="C681">
        <v>3030</v>
      </c>
      <c r="L681" s="30">
        <v>45380</v>
      </c>
      <c r="M681">
        <v>24810</v>
      </c>
    </row>
    <row r="682" spans="2:13" x14ac:dyDescent="0.55000000000000004">
      <c r="B682" s="30">
        <v>45344</v>
      </c>
      <c r="C682">
        <v>3113</v>
      </c>
      <c r="L682" s="30">
        <v>45379</v>
      </c>
      <c r="M682">
        <v>24790</v>
      </c>
    </row>
    <row r="683" spans="2:13" x14ac:dyDescent="0.55000000000000004">
      <c r="B683" s="30">
        <v>45343</v>
      </c>
      <c r="C683">
        <v>3177</v>
      </c>
      <c r="L683" s="30">
        <v>45378</v>
      </c>
      <c r="M683">
        <v>24785</v>
      </c>
    </row>
    <row r="684" spans="2:13" x14ac:dyDescent="0.55000000000000004">
      <c r="B684" s="30">
        <v>45342</v>
      </c>
      <c r="C684">
        <v>3146</v>
      </c>
      <c r="L684" s="30">
        <v>45377</v>
      </c>
      <c r="M684">
        <v>24770</v>
      </c>
    </row>
    <row r="685" spans="2:13" x14ac:dyDescent="0.55000000000000004">
      <c r="B685" s="30">
        <v>45341</v>
      </c>
      <c r="C685">
        <v>3172</v>
      </c>
      <c r="L685" s="30">
        <v>45376</v>
      </c>
      <c r="M685">
        <v>24740</v>
      </c>
    </row>
    <row r="686" spans="2:13" x14ac:dyDescent="0.55000000000000004">
      <c r="B686" s="30">
        <v>45338</v>
      </c>
      <c r="C686">
        <v>3141</v>
      </c>
      <c r="L686" s="30">
        <v>45373</v>
      </c>
      <c r="M686">
        <v>24768</v>
      </c>
    </row>
    <row r="687" spans="2:13" x14ac:dyDescent="0.55000000000000004">
      <c r="B687" s="30">
        <v>45337</v>
      </c>
      <c r="C687">
        <v>3108</v>
      </c>
      <c r="L687" s="30">
        <v>45372</v>
      </c>
      <c r="M687">
        <v>24785</v>
      </c>
    </row>
    <row r="688" spans="2:13" x14ac:dyDescent="0.55000000000000004">
      <c r="B688" s="30">
        <v>45336</v>
      </c>
      <c r="C688">
        <v>3090</v>
      </c>
      <c r="L688" s="30">
        <v>45371</v>
      </c>
      <c r="M688">
        <v>24775</v>
      </c>
    </row>
    <row r="689" spans="2:13" x14ac:dyDescent="0.55000000000000004">
      <c r="B689" s="30">
        <v>45335</v>
      </c>
      <c r="C689">
        <v>3163</v>
      </c>
      <c r="L689" s="30">
        <v>45370</v>
      </c>
      <c r="M689">
        <v>24740</v>
      </c>
    </row>
    <row r="690" spans="2:13" x14ac:dyDescent="0.55000000000000004">
      <c r="B690" s="30">
        <v>45334</v>
      </c>
      <c r="C690">
        <v>3192</v>
      </c>
      <c r="L690" s="30">
        <v>45369</v>
      </c>
      <c r="M690">
        <v>24715</v>
      </c>
    </row>
    <row r="691" spans="2:13" x14ac:dyDescent="0.55000000000000004">
      <c r="B691" s="30">
        <v>45331</v>
      </c>
      <c r="C691">
        <v>3217</v>
      </c>
      <c r="L691" s="30">
        <v>45366</v>
      </c>
      <c r="M691">
        <v>24710</v>
      </c>
    </row>
    <row r="692" spans="2:13" x14ac:dyDescent="0.55000000000000004">
      <c r="B692" s="30">
        <v>45330</v>
      </c>
      <c r="C692">
        <v>3109</v>
      </c>
      <c r="L692" s="30">
        <v>45365</v>
      </c>
      <c r="M692">
        <v>24690</v>
      </c>
    </row>
    <row r="693" spans="2:13" x14ac:dyDescent="0.55000000000000004">
      <c r="B693" s="30">
        <v>45329</v>
      </c>
      <c r="C693">
        <v>3115</v>
      </c>
      <c r="L693" s="30">
        <v>45364</v>
      </c>
      <c r="M693">
        <v>24675</v>
      </c>
    </row>
    <row r="694" spans="2:13" x14ac:dyDescent="0.55000000000000004">
      <c r="B694" s="30">
        <v>45328</v>
      </c>
      <c r="C694">
        <v>3096</v>
      </c>
      <c r="L694" s="30">
        <v>45363</v>
      </c>
      <c r="M694">
        <v>24645</v>
      </c>
    </row>
    <row r="695" spans="2:13" x14ac:dyDescent="0.55000000000000004">
      <c r="B695" s="30">
        <v>45327</v>
      </c>
      <c r="C695">
        <v>3068</v>
      </c>
      <c r="L695" s="30">
        <v>45362</v>
      </c>
      <c r="M695">
        <v>24635</v>
      </c>
    </row>
    <row r="696" spans="2:13" x14ac:dyDescent="0.55000000000000004">
      <c r="B696" s="30">
        <v>45324</v>
      </c>
      <c r="C696">
        <v>3116</v>
      </c>
      <c r="L696" s="30">
        <v>45359</v>
      </c>
      <c r="M696">
        <v>24640</v>
      </c>
    </row>
    <row r="697" spans="2:13" x14ac:dyDescent="0.55000000000000004">
      <c r="B697" s="30">
        <v>45323</v>
      </c>
      <c r="C697">
        <v>3151</v>
      </c>
      <c r="L697" s="30">
        <v>45358</v>
      </c>
      <c r="M697">
        <v>24680</v>
      </c>
    </row>
    <row r="698" spans="2:13" x14ac:dyDescent="0.55000000000000004">
      <c r="B698" s="30">
        <v>45322</v>
      </c>
      <c r="C698">
        <v>3168</v>
      </c>
      <c r="L698" s="30">
        <v>45357</v>
      </c>
      <c r="M698">
        <v>24665</v>
      </c>
    </row>
    <row r="699" spans="2:13" x14ac:dyDescent="0.55000000000000004">
      <c r="B699" s="30">
        <v>45321</v>
      </c>
      <c r="C699">
        <v>3181</v>
      </c>
      <c r="L699" s="30">
        <v>45356</v>
      </c>
      <c r="M699">
        <v>24690</v>
      </c>
    </row>
    <row r="700" spans="2:13" x14ac:dyDescent="0.55000000000000004">
      <c r="B700" s="30">
        <v>45320</v>
      </c>
      <c r="C700">
        <v>3122</v>
      </c>
      <c r="L700" s="30">
        <v>45355</v>
      </c>
      <c r="M700">
        <v>24676</v>
      </c>
    </row>
    <row r="701" spans="2:13" x14ac:dyDescent="0.55000000000000004">
      <c r="B701" s="30">
        <v>45317</v>
      </c>
      <c r="C701">
        <v>3112</v>
      </c>
      <c r="L701" s="30">
        <v>45352</v>
      </c>
      <c r="M701">
        <v>24640</v>
      </c>
    </row>
    <row r="702" spans="2:13" x14ac:dyDescent="0.55000000000000004">
      <c r="B702" s="30">
        <v>45316</v>
      </c>
      <c r="C702">
        <v>3251</v>
      </c>
      <c r="L702" s="30">
        <v>45351</v>
      </c>
      <c r="M702">
        <v>24640</v>
      </c>
    </row>
    <row r="703" spans="2:13" x14ac:dyDescent="0.55000000000000004">
      <c r="B703" s="30">
        <v>45315</v>
      </c>
      <c r="C703">
        <v>3207</v>
      </c>
      <c r="L703" s="30">
        <v>45350</v>
      </c>
      <c r="M703">
        <v>24620</v>
      </c>
    </row>
    <row r="704" spans="2:13" x14ac:dyDescent="0.55000000000000004">
      <c r="B704" s="30">
        <v>45314</v>
      </c>
      <c r="C704">
        <v>3182</v>
      </c>
      <c r="L704" s="30">
        <v>45349</v>
      </c>
      <c r="M704">
        <v>24625</v>
      </c>
    </row>
    <row r="705" spans="2:13" x14ac:dyDescent="0.55000000000000004">
      <c r="B705" s="30">
        <v>45313</v>
      </c>
      <c r="C705">
        <v>3220</v>
      </c>
      <c r="L705" s="30">
        <v>45348</v>
      </c>
      <c r="M705">
        <v>24660</v>
      </c>
    </row>
    <row r="706" spans="2:13" x14ac:dyDescent="0.55000000000000004">
      <c r="B706" s="30">
        <v>45310</v>
      </c>
      <c r="C706">
        <v>3128</v>
      </c>
      <c r="L706" s="30">
        <v>45345</v>
      </c>
      <c r="M706">
        <v>24630</v>
      </c>
    </row>
    <row r="707" spans="2:13" x14ac:dyDescent="0.55000000000000004">
      <c r="B707" s="30">
        <v>45309</v>
      </c>
      <c r="C707">
        <v>3063</v>
      </c>
      <c r="L707" s="30">
        <v>45344</v>
      </c>
      <c r="M707">
        <v>24590</v>
      </c>
    </row>
    <row r="708" spans="2:13" x14ac:dyDescent="0.55000000000000004">
      <c r="B708" s="30">
        <v>45308</v>
      </c>
      <c r="C708">
        <v>3156</v>
      </c>
      <c r="L708" s="30">
        <v>45343</v>
      </c>
      <c r="M708">
        <v>24525</v>
      </c>
    </row>
    <row r="709" spans="2:13" x14ac:dyDescent="0.55000000000000004">
      <c r="B709" s="30">
        <v>45307</v>
      </c>
      <c r="C709">
        <v>3170</v>
      </c>
      <c r="L709" s="30">
        <v>45342</v>
      </c>
      <c r="M709">
        <v>24525</v>
      </c>
    </row>
    <row r="710" spans="2:13" x14ac:dyDescent="0.55000000000000004">
      <c r="B710" s="30">
        <v>45306</v>
      </c>
      <c r="C710">
        <v>2987</v>
      </c>
      <c r="L710" s="30">
        <v>45341</v>
      </c>
      <c r="M710">
        <v>24530</v>
      </c>
    </row>
    <row r="711" spans="2:13" x14ac:dyDescent="0.55000000000000004">
      <c r="B711" s="30">
        <v>45303</v>
      </c>
      <c r="C711">
        <v>2939</v>
      </c>
      <c r="L711" s="30">
        <v>45338</v>
      </c>
      <c r="M711">
        <v>24510</v>
      </c>
    </row>
    <row r="712" spans="2:13" x14ac:dyDescent="0.55000000000000004">
      <c r="B712" s="30">
        <v>45302</v>
      </c>
      <c r="C712">
        <v>2938</v>
      </c>
      <c r="L712" s="30">
        <v>45337</v>
      </c>
      <c r="M712">
        <v>24450</v>
      </c>
    </row>
    <row r="713" spans="2:13" x14ac:dyDescent="0.55000000000000004">
      <c r="B713" s="30">
        <v>45301</v>
      </c>
      <c r="C713">
        <v>2950</v>
      </c>
      <c r="L713" s="30">
        <v>45336</v>
      </c>
      <c r="M713">
        <v>24400</v>
      </c>
    </row>
    <row r="714" spans="2:13" x14ac:dyDescent="0.55000000000000004">
      <c r="B714" s="30">
        <v>45300</v>
      </c>
      <c r="C714">
        <v>2932</v>
      </c>
      <c r="L714" s="30">
        <v>45335</v>
      </c>
      <c r="M714">
        <v>24400</v>
      </c>
    </row>
    <row r="715" spans="2:13" x14ac:dyDescent="0.55000000000000004">
      <c r="B715" s="30">
        <v>45299</v>
      </c>
      <c r="C715">
        <v>2885</v>
      </c>
      <c r="L715" s="30">
        <v>45334</v>
      </c>
      <c r="M715">
        <v>24400</v>
      </c>
    </row>
    <row r="716" spans="2:13" x14ac:dyDescent="0.55000000000000004">
      <c r="B716" s="30">
        <v>45296</v>
      </c>
      <c r="C716">
        <v>2795</v>
      </c>
      <c r="L716" s="30">
        <v>45331</v>
      </c>
      <c r="M716">
        <v>24400</v>
      </c>
    </row>
    <row r="717" spans="2:13" x14ac:dyDescent="0.55000000000000004">
      <c r="B717" s="30">
        <v>45295</v>
      </c>
      <c r="C717">
        <v>2786</v>
      </c>
      <c r="L717" s="30">
        <v>45330</v>
      </c>
      <c r="M717">
        <v>24400</v>
      </c>
    </row>
    <row r="718" spans="2:13" x14ac:dyDescent="0.55000000000000004">
      <c r="B718" s="30">
        <v>45294</v>
      </c>
      <c r="C718">
        <v>2755</v>
      </c>
      <c r="L718" s="30">
        <v>45329</v>
      </c>
      <c r="M718">
        <v>24400</v>
      </c>
    </row>
    <row r="719" spans="2:13" x14ac:dyDescent="0.55000000000000004">
      <c r="B719" s="30">
        <v>45293</v>
      </c>
      <c r="C719">
        <v>2804</v>
      </c>
      <c r="L719" s="30">
        <v>45328</v>
      </c>
      <c r="M719">
        <v>24355</v>
      </c>
    </row>
    <row r="720" spans="2:13" x14ac:dyDescent="0.55000000000000004">
      <c r="B720" s="30">
        <v>45289</v>
      </c>
      <c r="C720">
        <v>2841</v>
      </c>
      <c r="L720" s="30">
        <v>45327</v>
      </c>
      <c r="M720">
        <v>24370</v>
      </c>
    </row>
    <row r="721" spans="2:13" x14ac:dyDescent="0.55000000000000004">
      <c r="B721" s="30">
        <v>45288</v>
      </c>
      <c r="C721">
        <v>2936</v>
      </c>
      <c r="L721" s="30">
        <v>45324</v>
      </c>
      <c r="M721">
        <v>24335</v>
      </c>
    </row>
    <row r="722" spans="2:13" x14ac:dyDescent="0.55000000000000004">
      <c r="B722" s="30">
        <v>45287</v>
      </c>
      <c r="C722">
        <v>2869</v>
      </c>
      <c r="L722" s="30">
        <v>45323</v>
      </c>
      <c r="M722">
        <v>24400</v>
      </c>
    </row>
    <row r="723" spans="2:13" x14ac:dyDescent="0.55000000000000004">
      <c r="B723" s="30">
        <v>45282</v>
      </c>
      <c r="C723">
        <v>2837</v>
      </c>
      <c r="L723" s="30">
        <v>45322</v>
      </c>
      <c r="M723">
        <v>24415</v>
      </c>
    </row>
    <row r="724" spans="2:13" x14ac:dyDescent="0.55000000000000004">
      <c r="B724" s="30">
        <v>45281</v>
      </c>
      <c r="C724">
        <v>2964</v>
      </c>
      <c r="L724" s="30">
        <v>45321</v>
      </c>
      <c r="M724">
        <v>24395</v>
      </c>
    </row>
    <row r="725" spans="2:13" x14ac:dyDescent="0.55000000000000004">
      <c r="B725" s="30">
        <v>45280</v>
      </c>
      <c r="C725">
        <v>2870</v>
      </c>
      <c r="L725" s="30">
        <v>45320</v>
      </c>
      <c r="M725">
        <v>24530</v>
      </c>
    </row>
    <row r="726" spans="2:13" x14ac:dyDescent="0.55000000000000004">
      <c r="B726" s="30">
        <v>45279</v>
      </c>
      <c r="C726">
        <v>2932</v>
      </c>
      <c r="L726" s="30">
        <v>45317</v>
      </c>
      <c r="M726">
        <v>24595</v>
      </c>
    </row>
    <row r="727" spans="2:13" x14ac:dyDescent="0.55000000000000004">
      <c r="B727" s="30">
        <v>45278</v>
      </c>
      <c r="C727">
        <v>2796</v>
      </c>
      <c r="L727" s="30">
        <v>45316</v>
      </c>
      <c r="M727">
        <v>24605</v>
      </c>
    </row>
    <row r="728" spans="2:13" x14ac:dyDescent="0.55000000000000004">
      <c r="B728" s="30">
        <v>45275</v>
      </c>
      <c r="C728">
        <v>2825</v>
      </c>
      <c r="L728" s="30">
        <v>45315</v>
      </c>
      <c r="M728">
        <v>24600</v>
      </c>
    </row>
    <row r="729" spans="2:13" x14ac:dyDescent="0.55000000000000004">
      <c r="B729" s="30">
        <v>45274</v>
      </c>
      <c r="C729">
        <v>2797</v>
      </c>
      <c r="L729" s="30">
        <v>45314</v>
      </c>
      <c r="M729">
        <v>24565</v>
      </c>
    </row>
    <row r="730" spans="2:13" x14ac:dyDescent="0.55000000000000004">
      <c r="B730" s="30">
        <v>45273</v>
      </c>
      <c r="C730">
        <v>2769</v>
      </c>
      <c r="L730" s="30">
        <v>45313</v>
      </c>
      <c r="M730">
        <v>24550</v>
      </c>
    </row>
    <row r="731" spans="2:13" x14ac:dyDescent="0.55000000000000004">
      <c r="B731" s="30">
        <v>45272</v>
      </c>
      <c r="C731">
        <v>2724</v>
      </c>
      <c r="L731" s="30">
        <v>45310</v>
      </c>
      <c r="M731">
        <v>24540</v>
      </c>
    </row>
    <row r="732" spans="2:13" x14ac:dyDescent="0.55000000000000004">
      <c r="B732" s="30">
        <v>45271</v>
      </c>
      <c r="C732">
        <v>2622</v>
      </c>
      <c r="L732" s="30">
        <v>45309</v>
      </c>
      <c r="M732">
        <v>24545</v>
      </c>
    </row>
    <row r="733" spans="2:13" x14ac:dyDescent="0.55000000000000004">
      <c r="B733" s="30">
        <v>45268</v>
      </c>
      <c r="C733">
        <v>2526</v>
      </c>
      <c r="L733" s="30">
        <v>45308</v>
      </c>
      <c r="M733">
        <v>24530</v>
      </c>
    </row>
    <row r="734" spans="2:13" x14ac:dyDescent="0.55000000000000004">
      <c r="B734" s="30">
        <v>45267</v>
      </c>
      <c r="C734">
        <v>2541</v>
      </c>
      <c r="L734" s="30">
        <v>45307</v>
      </c>
      <c r="M734">
        <v>24500</v>
      </c>
    </row>
    <row r="735" spans="2:13" x14ac:dyDescent="0.55000000000000004">
      <c r="B735" s="30">
        <v>45266</v>
      </c>
      <c r="C735">
        <v>2512</v>
      </c>
      <c r="L735" s="30">
        <v>45306</v>
      </c>
      <c r="M735">
        <v>24470</v>
      </c>
    </row>
    <row r="736" spans="2:13" x14ac:dyDescent="0.55000000000000004">
      <c r="B736" s="30">
        <v>45265</v>
      </c>
      <c r="C736">
        <v>2553</v>
      </c>
      <c r="L736" s="30">
        <v>45303</v>
      </c>
      <c r="M736">
        <v>24490</v>
      </c>
    </row>
    <row r="737" spans="2:13" x14ac:dyDescent="0.55000000000000004">
      <c r="B737" s="30">
        <v>45264</v>
      </c>
      <c r="C737">
        <v>2513</v>
      </c>
      <c r="L737" s="30">
        <v>45302</v>
      </c>
      <c r="M737">
        <v>24475</v>
      </c>
    </row>
    <row r="738" spans="2:13" x14ac:dyDescent="0.55000000000000004">
      <c r="B738" s="30">
        <v>45261</v>
      </c>
      <c r="C738">
        <v>2528</v>
      </c>
      <c r="L738" s="30">
        <v>45301</v>
      </c>
      <c r="M738">
        <v>24405</v>
      </c>
    </row>
    <row r="739" spans="2:13" x14ac:dyDescent="0.55000000000000004">
      <c r="B739" s="30">
        <v>45260</v>
      </c>
      <c r="C739">
        <v>2546</v>
      </c>
      <c r="L739" s="30">
        <v>45300</v>
      </c>
      <c r="M739">
        <v>24360</v>
      </c>
    </row>
    <row r="740" spans="2:13" x14ac:dyDescent="0.55000000000000004">
      <c r="B740" s="30">
        <v>45259</v>
      </c>
      <c r="C740">
        <v>2468</v>
      </c>
      <c r="L740" s="30">
        <v>45299</v>
      </c>
      <c r="M740">
        <v>24330</v>
      </c>
    </row>
    <row r="741" spans="2:13" x14ac:dyDescent="0.55000000000000004">
      <c r="B741" s="30">
        <v>45258</v>
      </c>
      <c r="C741">
        <v>2481</v>
      </c>
      <c r="L741" s="30">
        <v>45296</v>
      </c>
      <c r="M741">
        <v>24370</v>
      </c>
    </row>
    <row r="742" spans="2:13" x14ac:dyDescent="0.55000000000000004">
      <c r="B742" s="30">
        <v>45257</v>
      </c>
      <c r="C742">
        <v>2478</v>
      </c>
      <c r="L742" s="30">
        <v>45295</v>
      </c>
      <c r="M742">
        <v>24360</v>
      </c>
    </row>
    <row r="743" spans="2:13" x14ac:dyDescent="0.55000000000000004">
      <c r="B743" s="30">
        <v>45254</v>
      </c>
      <c r="C743">
        <v>2545</v>
      </c>
      <c r="L743" s="30">
        <v>45294</v>
      </c>
      <c r="M743">
        <v>24370</v>
      </c>
    </row>
    <row r="744" spans="2:13" x14ac:dyDescent="0.55000000000000004">
      <c r="B744" s="30">
        <v>45253</v>
      </c>
      <c r="C744">
        <v>2491</v>
      </c>
      <c r="L744" s="30">
        <v>45293</v>
      </c>
      <c r="M744">
        <v>24325</v>
      </c>
    </row>
    <row r="745" spans="2:13" x14ac:dyDescent="0.55000000000000004">
      <c r="B745" s="30">
        <v>45252</v>
      </c>
      <c r="C745">
        <v>2515</v>
      </c>
      <c r="L745" s="30">
        <v>45292</v>
      </c>
      <c r="M745">
        <v>24260</v>
      </c>
    </row>
    <row r="746" spans="2:13" x14ac:dyDescent="0.55000000000000004">
      <c r="B746" s="30">
        <v>45251</v>
      </c>
      <c r="C746">
        <v>2482</v>
      </c>
      <c r="L746" s="30">
        <v>45289</v>
      </c>
      <c r="M746">
        <v>24260</v>
      </c>
    </row>
    <row r="747" spans="2:13" x14ac:dyDescent="0.55000000000000004">
      <c r="B747" s="30">
        <v>45250</v>
      </c>
      <c r="C747">
        <v>2505</v>
      </c>
      <c r="L747" s="30">
        <v>45288</v>
      </c>
      <c r="M747">
        <v>24235</v>
      </c>
    </row>
    <row r="748" spans="2:13" x14ac:dyDescent="0.55000000000000004">
      <c r="B748" s="30">
        <v>45247</v>
      </c>
      <c r="C748">
        <v>2521</v>
      </c>
      <c r="L748" s="30">
        <v>45287</v>
      </c>
      <c r="M748">
        <v>24345</v>
      </c>
    </row>
    <row r="749" spans="2:13" x14ac:dyDescent="0.55000000000000004">
      <c r="B749" s="30">
        <v>45246</v>
      </c>
      <c r="C749">
        <v>2566</v>
      </c>
      <c r="L749" s="30">
        <v>45286</v>
      </c>
      <c r="M749">
        <v>24325</v>
      </c>
    </row>
    <row r="750" spans="2:13" x14ac:dyDescent="0.55000000000000004">
      <c r="B750" s="30">
        <v>45245</v>
      </c>
      <c r="C750">
        <v>2549</v>
      </c>
      <c r="L750" s="30">
        <v>45285</v>
      </c>
      <c r="M750">
        <v>24230</v>
      </c>
    </row>
    <row r="751" spans="2:13" x14ac:dyDescent="0.55000000000000004">
      <c r="B751" s="30">
        <v>45244</v>
      </c>
      <c r="C751">
        <v>2474</v>
      </c>
      <c r="L751" s="30">
        <v>45282</v>
      </c>
      <c r="M751">
        <v>24235</v>
      </c>
    </row>
    <row r="752" spans="2:13" x14ac:dyDescent="0.55000000000000004">
      <c r="B752" s="30">
        <v>45243</v>
      </c>
      <c r="C752">
        <v>2503</v>
      </c>
      <c r="L752" s="30">
        <v>45281</v>
      </c>
      <c r="M752">
        <v>24320</v>
      </c>
    </row>
    <row r="753" spans="2:13" x14ac:dyDescent="0.55000000000000004">
      <c r="B753" s="30">
        <v>45240</v>
      </c>
      <c r="C753">
        <v>2421</v>
      </c>
      <c r="L753" s="30">
        <v>45280</v>
      </c>
      <c r="M753">
        <v>24335</v>
      </c>
    </row>
    <row r="754" spans="2:13" x14ac:dyDescent="0.55000000000000004">
      <c r="B754" s="30">
        <v>45239</v>
      </c>
      <c r="C754">
        <v>2430</v>
      </c>
      <c r="L754" s="30">
        <v>45279</v>
      </c>
      <c r="M754">
        <v>24350</v>
      </c>
    </row>
    <row r="755" spans="2:13" x14ac:dyDescent="0.55000000000000004">
      <c r="B755" s="30">
        <v>45238</v>
      </c>
      <c r="C755">
        <v>2406</v>
      </c>
      <c r="L755" s="30">
        <v>45278</v>
      </c>
      <c r="M755">
        <v>24350</v>
      </c>
    </row>
    <row r="756" spans="2:13" x14ac:dyDescent="0.55000000000000004">
      <c r="B756" s="30">
        <v>45237</v>
      </c>
      <c r="C756">
        <v>2358</v>
      </c>
      <c r="L756" s="30">
        <v>45275</v>
      </c>
      <c r="M756">
        <v>24260</v>
      </c>
    </row>
    <row r="757" spans="2:13" x14ac:dyDescent="0.55000000000000004">
      <c r="B757" s="30">
        <v>45236</v>
      </c>
      <c r="C757">
        <v>2422</v>
      </c>
      <c r="L757" s="30">
        <v>45274</v>
      </c>
      <c r="M757">
        <v>24245</v>
      </c>
    </row>
    <row r="758" spans="2:13" x14ac:dyDescent="0.55000000000000004">
      <c r="B758" s="30">
        <v>45233</v>
      </c>
      <c r="C758">
        <v>2372</v>
      </c>
      <c r="L758" s="30">
        <v>45273</v>
      </c>
      <c r="M758">
        <v>24279</v>
      </c>
    </row>
    <row r="759" spans="2:13" x14ac:dyDescent="0.55000000000000004">
      <c r="B759" s="30">
        <v>45232</v>
      </c>
      <c r="C759">
        <v>2328</v>
      </c>
      <c r="L759" s="30">
        <v>45272</v>
      </c>
      <c r="M759">
        <v>24260</v>
      </c>
    </row>
    <row r="760" spans="2:13" x14ac:dyDescent="0.55000000000000004">
      <c r="B760" s="30">
        <v>45231</v>
      </c>
      <c r="C760">
        <v>2312</v>
      </c>
      <c r="L760" s="30">
        <v>45271</v>
      </c>
      <c r="M760">
        <v>24250</v>
      </c>
    </row>
    <row r="761" spans="2:13" x14ac:dyDescent="0.55000000000000004">
      <c r="B761" s="30">
        <v>45230</v>
      </c>
      <c r="C761">
        <v>2366</v>
      </c>
      <c r="L761" s="30">
        <v>45268</v>
      </c>
      <c r="M761">
        <v>24220</v>
      </c>
    </row>
    <row r="762" spans="2:13" x14ac:dyDescent="0.55000000000000004">
      <c r="B762" s="30">
        <v>45229</v>
      </c>
      <c r="C762">
        <v>2314</v>
      </c>
      <c r="L762" s="30">
        <v>45267</v>
      </c>
      <c r="M762">
        <v>24275</v>
      </c>
    </row>
    <row r="763" spans="2:13" x14ac:dyDescent="0.55000000000000004">
      <c r="B763" s="30">
        <v>45226</v>
      </c>
      <c r="C763">
        <v>2383</v>
      </c>
      <c r="L763" s="30">
        <v>45266</v>
      </c>
      <c r="M763">
        <v>24274</v>
      </c>
    </row>
    <row r="764" spans="2:13" x14ac:dyDescent="0.55000000000000004">
      <c r="B764" s="30">
        <v>45225</v>
      </c>
      <c r="C764">
        <v>2420</v>
      </c>
      <c r="L764" s="30">
        <v>45265</v>
      </c>
      <c r="M764">
        <v>24266</v>
      </c>
    </row>
    <row r="765" spans="2:13" x14ac:dyDescent="0.55000000000000004">
      <c r="B765" s="30">
        <v>45224</v>
      </c>
      <c r="C765">
        <v>2467</v>
      </c>
      <c r="L765" s="30">
        <v>45264</v>
      </c>
      <c r="M765">
        <v>24250</v>
      </c>
    </row>
    <row r="766" spans="2:13" x14ac:dyDescent="0.55000000000000004">
      <c r="B766" s="30">
        <v>45223</v>
      </c>
      <c r="C766">
        <v>2493</v>
      </c>
      <c r="L766" s="30">
        <v>45261</v>
      </c>
      <c r="M766">
        <v>24290</v>
      </c>
    </row>
    <row r="767" spans="2:13" x14ac:dyDescent="0.55000000000000004">
      <c r="B767" s="30">
        <v>45222</v>
      </c>
      <c r="C767">
        <v>2526</v>
      </c>
      <c r="L767" s="30">
        <v>45260</v>
      </c>
      <c r="M767">
        <v>24250</v>
      </c>
    </row>
    <row r="768" spans="2:13" x14ac:dyDescent="0.55000000000000004">
      <c r="B768" s="30">
        <v>45219</v>
      </c>
      <c r="C768">
        <v>2479</v>
      </c>
      <c r="L768" s="30">
        <v>45259</v>
      </c>
      <c r="M768">
        <v>24260</v>
      </c>
    </row>
    <row r="769" spans="2:13" x14ac:dyDescent="0.55000000000000004">
      <c r="B769" s="30">
        <v>45218</v>
      </c>
      <c r="C769">
        <v>2402</v>
      </c>
      <c r="L769" s="30">
        <v>45258</v>
      </c>
      <c r="M769">
        <v>24230</v>
      </c>
    </row>
    <row r="770" spans="2:13" x14ac:dyDescent="0.55000000000000004">
      <c r="B770" s="30">
        <v>45217</v>
      </c>
      <c r="C770">
        <v>2335</v>
      </c>
      <c r="L770" s="30">
        <v>45257</v>
      </c>
      <c r="M770">
        <v>24230</v>
      </c>
    </row>
    <row r="771" spans="2:13" x14ac:dyDescent="0.55000000000000004">
      <c r="B771" s="30">
        <v>45216</v>
      </c>
      <c r="C771">
        <v>2320</v>
      </c>
      <c r="L771" s="30">
        <v>45254</v>
      </c>
      <c r="M771">
        <v>24260</v>
      </c>
    </row>
    <row r="772" spans="2:13" x14ac:dyDescent="0.55000000000000004">
      <c r="B772" s="30">
        <v>45215</v>
      </c>
      <c r="C772">
        <v>2296</v>
      </c>
      <c r="L772" s="30">
        <v>45253</v>
      </c>
      <c r="M772">
        <v>24240</v>
      </c>
    </row>
    <row r="773" spans="2:13" x14ac:dyDescent="0.55000000000000004">
      <c r="B773" s="30">
        <v>45212</v>
      </c>
      <c r="C773">
        <v>2284</v>
      </c>
      <c r="L773" s="30">
        <v>45252</v>
      </c>
      <c r="M773">
        <v>24205</v>
      </c>
    </row>
    <row r="774" spans="2:13" x14ac:dyDescent="0.55000000000000004">
      <c r="B774" s="30">
        <v>45211</v>
      </c>
      <c r="C774">
        <v>2255</v>
      </c>
      <c r="L774" s="30">
        <v>45251</v>
      </c>
      <c r="M774">
        <v>24130</v>
      </c>
    </row>
    <row r="775" spans="2:13" x14ac:dyDescent="0.55000000000000004">
      <c r="B775" s="30">
        <v>45210</v>
      </c>
      <c r="C775">
        <v>2235</v>
      </c>
      <c r="L775" s="30">
        <v>45250</v>
      </c>
      <c r="M775">
        <v>24170</v>
      </c>
    </row>
    <row r="776" spans="2:13" x14ac:dyDescent="0.55000000000000004">
      <c r="B776" s="30">
        <v>45209</v>
      </c>
      <c r="C776">
        <v>2245</v>
      </c>
      <c r="L776" s="30">
        <v>45247</v>
      </c>
      <c r="M776">
        <v>24250</v>
      </c>
    </row>
    <row r="777" spans="2:13" x14ac:dyDescent="0.55000000000000004">
      <c r="B777" s="30">
        <v>45208</v>
      </c>
      <c r="C777">
        <v>2243</v>
      </c>
      <c r="L777" s="30">
        <v>45246</v>
      </c>
      <c r="M777">
        <v>24288</v>
      </c>
    </row>
    <row r="778" spans="2:13" x14ac:dyDescent="0.55000000000000004">
      <c r="B778" s="30">
        <v>45205</v>
      </c>
      <c r="C778">
        <v>2280</v>
      </c>
      <c r="L778" s="30">
        <v>45245</v>
      </c>
      <c r="M778">
        <v>24290</v>
      </c>
    </row>
    <row r="779" spans="2:13" x14ac:dyDescent="0.55000000000000004">
      <c r="B779" s="30">
        <v>45204</v>
      </c>
      <c r="C779">
        <v>2302</v>
      </c>
      <c r="L779" s="30">
        <v>45244</v>
      </c>
      <c r="M779">
        <v>24355</v>
      </c>
    </row>
    <row r="780" spans="2:13" x14ac:dyDescent="0.55000000000000004">
      <c r="B780" s="30">
        <v>45203</v>
      </c>
      <c r="C780">
        <v>2315</v>
      </c>
      <c r="L780" s="30">
        <v>45243</v>
      </c>
      <c r="M780">
        <v>24383</v>
      </c>
    </row>
    <row r="781" spans="2:13" x14ac:dyDescent="0.55000000000000004">
      <c r="B781" s="30">
        <v>45202</v>
      </c>
      <c r="C781">
        <v>2332</v>
      </c>
      <c r="L781" s="30">
        <v>45240</v>
      </c>
      <c r="M781">
        <v>24315</v>
      </c>
    </row>
    <row r="782" spans="2:13" x14ac:dyDescent="0.55000000000000004">
      <c r="B782" s="30">
        <v>45201</v>
      </c>
      <c r="C782">
        <v>2374</v>
      </c>
      <c r="L782" s="30">
        <v>45239</v>
      </c>
      <c r="M782">
        <v>24340</v>
      </c>
    </row>
    <row r="783" spans="2:13" x14ac:dyDescent="0.55000000000000004">
      <c r="B783" s="30">
        <v>45198</v>
      </c>
      <c r="C783">
        <v>2369</v>
      </c>
      <c r="L783" s="30">
        <v>45238</v>
      </c>
      <c r="M783">
        <v>24370</v>
      </c>
    </row>
    <row r="784" spans="2:13" x14ac:dyDescent="0.55000000000000004">
      <c r="B784" s="30">
        <v>45197</v>
      </c>
      <c r="C784">
        <v>2372</v>
      </c>
      <c r="L784" s="30">
        <v>45237</v>
      </c>
      <c r="M784">
        <v>24310</v>
      </c>
    </row>
    <row r="785" spans="2:13" x14ac:dyDescent="0.55000000000000004">
      <c r="B785" s="30">
        <v>45196</v>
      </c>
      <c r="C785">
        <v>2346</v>
      </c>
      <c r="L785" s="30">
        <v>45236</v>
      </c>
      <c r="M785">
        <v>24335</v>
      </c>
    </row>
    <row r="786" spans="2:13" x14ac:dyDescent="0.55000000000000004">
      <c r="B786" s="30">
        <v>45195</v>
      </c>
      <c r="C786">
        <v>2352</v>
      </c>
      <c r="L786" s="30">
        <v>45233</v>
      </c>
      <c r="M786">
        <v>24520</v>
      </c>
    </row>
    <row r="787" spans="2:13" x14ac:dyDescent="0.55000000000000004">
      <c r="B787" s="30">
        <v>45194</v>
      </c>
      <c r="C787">
        <v>2443</v>
      </c>
      <c r="L787" s="30">
        <v>45232</v>
      </c>
      <c r="M787">
        <v>24570</v>
      </c>
    </row>
    <row r="788" spans="2:13" x14ac:dyDescent="0.55000000000000004">
      <c r="B788" s="30">
        <v>45191</v>
      </c>
      <c r="C788">
        <v>2461</v>
      </c>
      <c r="L788" s="30">
        <v>45231</v>
      </c>
      <c r="M788">
        <v>24585</v>
      </c>
    </row>
    <row r="789" spans="2:13" x14ac:dyDescent="0.55000000000000004">
      <c r="B789" s="30">
        <v>45190</v>
      </c>
      <c r="C789">
        <v>2464</v>
      </c>
      <c r="L789" s="30">
        <v>45230</v>
      </c>
      <c r="M789">
        <v>24560</v>
      </c>
    </row>
    <row r="790" spans="2:13" x14ac:dyDescent="0.55000000000000004">
      <c r="B790" s="30">
        <v>45189</v>
      </c>
      <c r="C790">
        <v>2508</v>
      </c>
      <c r="L790" s="30">
        <v>45229</v>
      </c>
      <c r="M790">
        <v>24558</v>
      </c>
    </row>
    <row r="791" spans="2:13" x14ac:dyDescent="0.55000000000000004">
      <c r="B791" s="30">
        <v>45188</v>
      </c>
      <c r="C791">
        <v>2540</v>
      </c>
      <c r="L791" s="30">
        <v>45226</v>
      </c>
      <c r="M791">
        <v>24570</v>
      </c>
    </row>
    <row r="792" spans="2:13" x14ac:dyDescent="0.55000000000000004">
      <c r="B792" s="30">
        <v>45187</v>
      </c>
      <c r="C792">
        <v>2566</v>
      </c>
      <c r="L792" s="30">
        <v>45225</v>
      </c>
      <c r="M792">
        <v>24590</v>
      </c>
    </row>
    <row r="793" spans="2:13" x14ac:dyDescent="0.55000000000000004">
      <c r="B793" s="30">
        <v>45184</v>
      </c>
      <c r="C793">
        <v>2556</v>
      </c>
      <c r="L793" s="30">
        <v>45224</v>
      </c>
      <c r="M793">
        <v>24560</v>
      </c>
    </row>
    <row r="794" spans="2:13" x14ac:dyDescent="0.55000000000000004">
      <c r="B794" s="30">
        <v>45183</v>
      </c>
      <c r="C794">
        <v>2495</v>
      </c>
      <c r="L794" s="30">
        <v>45223</v>
      </c>
      <c r="M794">
        <v>24550</v>
      </c>
    </row>
    <row r="795" spans="2:13" x14ac:dyDescent="0.55000000000000004">
      <c r="B795" s="30">
        <v>45182</v>
      </c>
      <c r="C795">
        <v>2479</v>
      </c>
      <c r="L795" s="30">
        <v>45222</v>
      </c>
      <c r="M795">
        <v>24590</v>
      </c>
    </row>
    <row r="796" spans="2:13" x14ac:dyDescent="0.55000000000000004">
      <c r="B796" s="30">
        <v>45181</v>
      </c>
      <c r="C796">
        <v>2430</v>
      </c>
      <c r="L796" s="30">
        <v>45219</v>
      </c>
      <c r="M796">
        <v>24520</v>
      </c>
    </row>
    <row r="797" spans="2:13" x14ac:dyDescent="0.55000000000000004">
      <c r="B797" s="30">
        <v>45180</v>
      </c>
      <c r="C797">
        <v>2439</v>
      </c>
      <c r="L797" s="30">
        <v>45218</v>
      </c>
      <c r="M797">
        <v>24550</v>
      </c>
    </row>
    <row r="798" spans="2:13" x14ac:dyDescent="0.55000000000000004">
      <c r="B798" s="30">
        <v>45177</v>
      </c>
      <c r="C798">
        <v>2407</v>
      </c>
      <c r="L798" s="30">
        <v>45217</v>
      </c>
      <c r="M798">
        <v>24555</v>
      </c>
    </row>
    <row r="799" spans="2:13" x14ac:dyDescent="0.55000000000000004">
      <c r="B799" s="30">
        <v>45176</v>
      </c>
      <c r="C799">
        <v>2407</v>
      </c>
      <c r="L799" s="30">
        <v>45216</v>
      </c>
      <c r="M799">
        <v>24490</v>
      </c>
    </row>
    <row r="800" spans="2:13" x14ac:dyDescent="0.55000000000000004">
      <c r="B800" s="30">
        <v>45175</v>
      </c>
      <c r="C800">
        <v>2456</v>
      </c>
      <c r="L800" s="30">
        <v>45215</v>
      </c>
      <c r="M800">
        <v>24460</v>
      </c>
    </row>
    <row r="801" spans="2:13" x14ac:dyDescent="0.55000000000000004">
      <c r="B801" s="30">
        <v>45174</v>
      </c>
      <c r="C801">
        <v>2453</v>
      </c>
      <c r="L801" s="30">
        <v>45212</v>
      </c>
      <c r="M801">
        <v>24440</v>
      </c>
    </row>
    <row r="802" spans="2:13" x14ac:dyDescent="0.55000000000000004">
      <c r="B802" s="30">
        <v>45173</v>
      </c>
      <c r="C802">
        <v>2483</v>
      </c>
      <c r="L802" s="30">
        <v>45211</v>
      </c>
      <c r="M802">
        <v>24435</v>
      </c>
    </row>
    <row r="803" spans="2:13" x14ac:dyDescent="0.55000000000000004">
      <c r="B803" s="30">
        <v>45170</v>
      </c>
      <c r="C803">
        <v>2482</v>
      </c>
      <c r="L803" s="30">
        <v>45210</v>
      </c>
      <c r="M803">
        <v>24440</v>
      </c>
    </row>
    <row r="804" spans="2:13" x14ac:dyDescent="0.55000000000000004">
      <c r="B804" s="30">
        <v>45169</v>
      </c>
      <c r="C804">
        <v>2489</v>
      </c>
      <c r="L804" s="30">
        <v>45209</v>
      </c>
      <c r="M804">
        <v>24390</v>
      </c>
    </row>
    <row r="805" spans="2:13" x14ac:dyDescent="0.55000000000000004">
      <c r="B805" s="30">
        <v>45168</v>
      </c>
      <c r="C805">
        <v>2496</v>
      </c>
      <c r="L805" s="30">
        <v>45208</v>
      </c>
      <c r="M805">
        <v>24370</v>
      </c>
    </row>
    <row r="806" spans="2:13" x14ac:dyDescent="0.55000000000000004">
      <c r="B806" s="30">
        <v>45167</v>
      </c>
      <c r="C806">
        <v>2449</v>
      </c>
      <c r="L806" s="30">
        <v>45205</v>
      </c>
      <c r="M806">
        <v>24360</v>
      </c>
    </row>
    <row r="807" spans="2:13" x14ac:dyDescent="0.55000000000000004">
      <c r="B807" s="30">
        <v>45163</v>
      </c>
      <c r="C807">
        <v>2437</v>
      </c>
      <c r="L807" s="30">
        <v>45204</v>
      </c>
      <c r="M807">
        <v>24380</v>
      </c>
    </row>
    <row r="808" spans="2:13" x14ac:dyDescent="0.55000000000000004">
      <c r="B808" s="30">
        <v>45162</v>
      </c>
      <c r="C808">
        <v>2406</v>
      </c>
      <c r="L808" s="30">
        <v>45203</v>
      </c>
      <c r="M808">
        <v>24420</v>
      </c>
    </row>
    <row r="809" spans="2:13" x14ac:dyDescent="0.55000000000000004">
      <c r="B809" s="30">
        <v>45161</v>
      </c>
      <c r="C809">
        <v>2402</v>
      </c>
      <c r="L809" s="30">
        <v>45202</v>
      </c>
      <c r="M809">
        <v>24385</v>
      </c>
    </row>
    <row r="810" spans="2:13" x14ac:dyDescent="0.55000000000000004">
      <c r="B810" s="30">
        <v>45160</v>
      </c>
      <c r="C810">
        <v>2374</v>
      </c>
      <c r="L810" s="30">
        <v>45201</v>
      </c>
      <c r="M810">
        <v>24340</v>
      </c>
    </row>
    <row r="811" spans="2:13" x14ac:dyDescent="0.55000000000000004">
      <c r="B811" s="30">
        <v>45159</v>
      </c>
      <c r="C811">
        <v>2366</v>
      </c>
      <c r="L811" s="30">
        <v>45198</v>
      </c>
      <c r="M811">
        <v>24280</v>
      </c>
    </row>
    <row r="812" spans="2:13" x14ac:dyDescent="0.55000000000000004">
      <c r="B812" s="30">
        <v>45156</v>
      </c>
      <c r="C812">
        <v>2363</v>
      </c>
      <c r="L812" s="30">
        <v>45197</v>
      </c>
      <c r="M812">
        <v>24385</v>
      </c>
    </row>
    <row r="813" spans="2:13" x14ac:dyDescent="0.55000000000000004">
      <c r="B813" s="30">
        <v>45155</v>
      </c>
      <c r="C813">
        <v>2391</v>
      </c>
      <c r="L813" s="30">
        <v>45196</v>
      </c>
      <c r="M813">
        <v>24385</v>
      </c>
    </row>
    <row r="814" spans="2:13" x14ac:dyDescent="0.55000000000000004">
      <c r="B814" s="30">
        <v>45154</v>
      </c>
      <c r="C814">
        <v>2378</v>
      </c>
      <c r="L814" s="30">
        <v>45195</v>
      </c>
      <c r="M814">
        <v>24380</v>
      </c>
    </row>
    <row r="815" spans="2:13" x14ac:dyDescent="0.55000000000000004">
      <c r="B815" s="30">
        <v>45153</v>
      </c>
      <c r="C815">
        <v>2433</v>
      </c>
      <c r="L815" s="30">
        <v>45194</v>
      </c>
      <c r="M815">
        <v>24380</v>
      </c>
    </row>
    <row r="816" spans="2:13" x14ac:dyDescent="0.55000000000000004">
      <c r="B816" s="30">
        <v>45152</v>
      </c>
      <c r="C816">
        <v>2435</v>
      </c>
      <c r="L816" s="30">
        <v>45191</v>
      </c>
      <c r="M816">
        <v>24360</v>
      </c>
    </row>
    <row r="817" spans="2:13" x14ac:dyDescent="0.55000000000000004">
      <c r="B817" s="30">
        <v>45149</v>
      </c>
      <c r="C817">
        <v>2517</v>
      </c>
      <c r="L817" s="30">
        <v>45190</v>
      </c>
      <c r="M817">
        <v>24310</v>
      </c>
    </row>
    <row r="818" spans="2:13" x14ac:dyDescent="0.55000000000000004">
      <c r="B818" s="30">
        <v>45148</v>
      </c>
      <c r="C818">
        <v>2534</v>
      </c>
      <c r="L818" s="30">
        <v>45189</v>
      </c>
      <c r="M818">
        <v>24270</v>
      </c>
    </row>
    <row r="819" spans="2:13" x14ac:dyDescent="0.55000000000000004">
      <c r="B819" s="30">
        <v>45147</v>
      </c>
      <c r="C819">
        <v>2543</v>
      </c>
      <c r="L819" s="30">
        <v>45188</v>
      </c>
      <c r="M819">
        <v>24370</v>
      </c>
    </row>
    <row r="820" spans="2:13" x14ac:dyDescent="0.55000000000000004">
      <c r="B820" s="30">
        <v>45146</v>
      </c>
      <c r="C820">
        <v>2559</v>
      </c>
      <c r="L820" s="30">
        <v>45187</v>
      </c>
      <c r="M820">
        <v>24370</v>
      </c>
    </row>
    <row r="821" spans="2:13" x14ac:dyDescent="0.55000000000000004">
      <c r="B821" s="30">
        <v>45145</v>
      </c>
      <c r="C821">
        <v>2554</v>
      </c>
      <c r="L821" s="30">
        <v>45184</v>
      </c>
      <c r="M821">
        <v>24250</v>
      </c>
    </row>
    <row r="822" spans="2:13" x14ac:dyDescent="0.55000000000000004">
      <c r="B822" s="30">
        <v>45142</v>
      </c>
      <c r="C822">
        <v>2488</v>
      </c>
      <c r="L822" s="30">
        <v>45183</v>
      </c>
      <c r="M822">
        <v>24220</v>
      </c>
    </row>
    <row r="823" spans="2:13" x14ac:dyDescent="0.55000000000000004">
      <c r="B823" s="30">
        <v>45141</v>
      </c>
      <c r="C823">
        <v>2516</v>
      </c>
      <c r="L823" s="30">
        <v>45182</v>
      </c>
      <c r="M823">
        <v>24155</v>
      </c>
    </row>
    <row r="824" spans="2:13" x14ac:dyDescent="0.55000000000000004">
      <c r="B824" s="30">
        <v>45140</v>
      </c>
      <c r="C824">
        <v>2532</v>
      </c>
      <c r="L824" s="30">
        <v>45181</v>
      </c>
      <c r="M824">
        <v>24100</v>
      </c>
    </row>
    <row r="825" spans="2:13" x14ac:dyDescent="0.55000000000000004">
      <c r="B825" s="30">
        <v>45139</v>
      </c>
      <c r="C825">
        <v>2494</v>
      </c>
      <c r="L825" s="30">
        <v>45180</v>
      </c>
      <c r="M825">
        <v>24075</v>
      </c>
    </row>
    <row r="826" spans="2:13" x14ac:dyDescent="0.55000000000000004">
      <c r="B826" s="30">
        <v>45138</v>
      </c>
      <c r="C826">
        <v>2476</v>
      </c>
      <c r="L826" s="30">
        <v>45177</v>
      </c>
      <c r="M826">
        <v>24055</v>
      </c>
    </row>
    <row r="827" spans="2:13" x14ac:dyDescent="0.55000000000000004">
      <c r="B827" s="30">
        <v>45135</v>
      </c>
      <c r="C827">
        <v>2437</v>
      </c>
      <c r="L827" s="30">
        <v>45176</v>
      </c>
      <c r="M827">
        <v>24060</v>
      </c>
    </row>
    <row r="828" spans="2:13" x14ac:dyDescent="0.55000000000000004">
      <c r="B828" s="30">
        <v>45134</v>
      </c>
      <c r="C828">
        <v>2499</v>
      </c>
      <c r="L828" s="30">
        <v>45175</v>
      </c>
      <c r="M828">
        <v>24055</v>
      </c>
    </row>
    <row r="829" spans="2:13" x14ac:dyDescent="0.55000000000000004">
      <c r="B829" s="30">
        <v>45133</v>
      </c>
      <c r="C829">
        <v>2480</v>
      </c>
      <c r="L829" s="30">
        <v>45174</v>
      </c>
      <c r="M829">
        <v>24050</v>
      </c>
    </row>
    <row r="830" spans="2:13" x14ac:dyDescent="0.55000000000000004">
      <c r="B830" s="30">
        <v>45132</v>
      </c>
      <c r="C830">
        <v>2628</v>
      </c>
      <c r="L830" s="30">
        <v>45173</v>
      </c>
      <c r="M830">
        <v>24060</v>
      </c>
    </row>
    <row r="831" spans="2:13" x14ac:dyDescent="0.55000000000000004">
      <c r="B831" s="30">
        <v>45131</v>
      </c>
      <c r="C831">
        <v>2649</v>
      </c>
      <c r="L831" s="30">
        <v>45170</v>
      </c>
      <c r="M831">
        <v>24060</v>
      </c>
    </row>
    <row r="832" spans="2:13" x14ac:dyDescent="0.55000000000000004">
      <c r="B832" s="30">
        <v>45128</v>
      </c>
      <c r="C832">
        <v>2602</v>
      </c>
      <c r="L832" s="30">
        <v>45169</v>
      </c>
      <c r="M832">
        <v>24060</v>
      </c>
    </row>
    <row r="833" spans="2:13" x14ac:dyDescent="0.55000000000000004">
      <c r="B833" s="30">
        <v>45127</v>
      </c>
      <c r="C833">
        <v>2536</v>
      </c>
      <c r="L833" s="30">
        <v>45168</v>
      </c>
      <c r="M833">
        <v>24110</v>
      </c>
    </row>
    <row r="834" spans="2:13" x14ac:dyDescent="0.55000000000000004">
      <c r="B834" s="30">
        <v>45126</v>
      </c>
      <c r="C834">
        <v>2604</v>
      </c>
      <c r="L834" s="30">
        <v>45167</v>
      </c>
      <c r="M834">
        <v>24180</v>
      </c>
    </row>
    <row r="835" spans="2:13" x14ac:dyDescent="0.55000000000000004">
      <c r="B835" s="30">
        <v>45125</v>
      </c>
      <c r="C835">
        <v>2532</v>
      </c>
      <c r="L835" s="30">
        <v>45166</v>
      </c>
      <c r="M835">
        <v>24080</v>
      </c>
    </row>
    <row r="836" spans="2:13" x14ac:dyDescent="0.55000000000000004">
      <c r="B836" s="30">
        <v>45124</v>
      </c>
      <c r="C836">
        <v>2552</v>
      </c>
      <c r="L836" s="30">
        <v>45163</v>
      </c>
      <c r="M836">
        <v>24024</v>
      </c>
    </row>
    <row r="837" spans="2:13" x14ac:dyDescent="0.55000000000000004">
      <c r="B837" s="30">
        <v>45121</v>
      </c>
      <c r="C837">
        <v>2540</v>
      </c>
      <c r="L837" s="30">
        <v>45162</v>
      </c>
      <c r="M837">
        <v>23995</v>
      </c>
    </row>
    <row r="838" spans="2:13" x14ac:dyDescent="0.55000000000000004">
      <c r="B838" s="30">
        <v>45120</v>
      </c>
      <c r="C838">
        <v>2525</v>
      </c>
      <c r="L838" s="30">
        <v>45161</v>
      </c>
      <c r="M838">
        <v>23985</v>
      </c>
    </row>
    <row r="839" spans="2:13" x14ac:dyDescent="0.55000000000000004">
      <c r="B839" s="30">
        <v>45119</v>
      </c>
      <c r="C839">
        <v>2534</v>
      </c>
      <c r="L839" s="30">
        <v>45160</v>
      </c>
      <c r="M839">
        <v>23920</v>
      </c>
    </row>
    <row r="840" spans="2:13" x14ac:dyDescent="0.55000000000000004">
      <c r="B840" s="30">
        <v>45118</v>
      </c>
      <c r="C840">
        <v>2570</v>
      </c>
      <c r="L840" s="30">
        <v>45159</v>
      </c>
      <c r="M840">
        <v>23805</v>
      </c>
    </row>
    <row r="841" spans="2:13" x14ac:dyDescent="0.55000000000000004">
      <c r="B841" s="30">
        <v>45117</v>
      </c>
      <c r="C841">
        <v>2576</v>
      </c>
      <c r="L841" s="30">
        <v>45156</v>
      </c>
      <c r="M841">
        <v>23805</v>
      </c>
    </row>
    <row r="842" spans="2:13" x14ac:dyDescent="0.55000000000000004">
      <c r="B842" s="30">
        <v>45114</v>
      </c>
      <c r="C842">
        <v>2621</v>
      </c>
      <c r="L842" s="30">
        <v>45155</v>
      </c>
      <c r="M842">
        <v>23850</v>
      </c>
    </row>
    <row r="843" spans="2:13" x14ac:dyDescent="0.55000000000000004">
      <c r="B843" s="30">
        <v>45113</v>
      </c>
      <c r="C843">
        <v>2510</v>
      </c>
      <c r="L843" s="30">
        <v>45154</v>
      </c>
      <c r="M843">
        <v>23935</v>
      </c>
    </row>
    <row r="844" spans="2:13" x14ac:dyDescent="0.55000000000000004">
      <c r="B844" s="30">
        <v>45112</v>
      </c>
      <c r="C844">
        <v>2512</v>
      </c>
      <c r="L844" s="30">
        <v>45153</v>
      </c>
      <c r="M844">
        <v>23965</v>
      </c>
    </row>
    <row r="845" spans="2:13" x14ac:dyDescent="0.55000000000000004">
      <c r="B845" s="30">
        <v>45111</v>
      </c>
      <c r="C845">
        <v>2527</v>
      </c>
      <c r="L845" s="30">
        <v>45152</v>
      </c>
      <c r="M845">
        <v>23815</v>
      </c>
    </row>
    <row r="846" spans="2:13" x14ac:dyDescent="0.55000000000000004">
      <c r="B846" s="30">
        <v>45110</v>
      </c>
      <c r="C846">
        <v>2538</v>
      </c>
      <c r="L846" s="30">
        <v>45149</v>
      </c>
      <c r="M846">
        <v>23750</v>
      </c>
    </row>
    <row r="847" spans="2:13" x14ac:dyDescent="0.55000000000000004">
      <c r="B847" s="30">
        <v>45107</v>
      </c>
      <c r="C847">
        <v>2491</v>
      </c>
      <c r="L847" s="30">
        <v>45148</v>
      </c>
      <c r="M847">
        <v>23740</v>
      </c>
    </row>
    <row r="848" spans="2:13" x14ac:dyDescent="0.55000000000000004">
      <c r="B848" s="30">
        <v>45106</v>
      </c>
      <c r="C848">
        <v>2570</v>
      </c>
      <c r="L848" s="30">
        <v>45147</v>
      </c>
      <c r="M848">
        <v>23735</v>
      </c>
    </row>
    <row r="849" spans="2:13" x14ac:dyDescent="0.55000000000000004">
      <c r="B849" s="30">
        <v>45105</v>
      </c>
      <c r="C849">
        <v>2616</v>
      </c>
      <c r="L849" s="30">
        <v>45146</v>
      </c>
      <c r="M849">
        <v>23730</v>
      </c>
    </row>
    <row r="850" spans="2:13" x14ac:dyDescent="0.55000000000000004">
      <c r="B850" s="30">
        <v>45104</v>
      </c>
      <c r="C850">
        <v>2715</v>
      </c>
      <c r="L850" s="30">
        <v>45145</v>
      </c>
      <c r="M850">
        <v>23720</v>
      </c>
    </row>
    <row r="851" spans="2:13" x14ac:dyDescent="0.55000000000000004">
      <c r="B851" s="30">
        <v>45103</v>
      </c>
      <c r="C851">
        <v>2710</v>
      </c>
      <c r="L851" s="30">
        <v>45142</v>
      </c>
      <c r="M851">
        <v>23725</v>
      </c>
    </row>
    <row r="852" spans="2:13" x14ac:dyDescent="0.55000000000000004">
      <c r="B852" s="30">
        <v>45100</v>
      </c>
      <c r="C852">
        <v>2676</v>
      </c>
      <c r="L852" s="30">
        <v>45141</v>
      </c>
      <c r="M852">
        <v>23750</v>
      </c>
    </row>
    <row r="853" spans="2:13" x14ac:dyDescent="0.55000000000000004">
      <c r="B853" s="30">
        <v>45099</v>
      </c>
      <c r="C853">
        <v>2749</v>
      </c>
      <c r="L853" s="30">
        <v>45140</v>
      </c>
      <c r="M853">
        <v>23735</v>
      </c>
    </row>
    <row r="854" spans="2:13" x14ac:dyDescent="0.55000000000000004">
      <c r="B854" s="30">
        <v>45098</v>
      </c>
      <c r="C854">
        <v>2726</v>
      </c>
      <c r="L854" s="30">
        <v>45139</v>
      </c>
      <c r="M854">
        <v>23680</v>
      </c>
    </row>
    <row r="855" spans="2:13" x14ac:dyDescent="0.55000000000000004">
      <c r="B855" s="30">
        <v>45097</v>
      </c>
      <c r="C855">
        <v>2770</v>
      </c>
      <c r="L855" s="30">
        <v>45138</v>
      </c>
      <c r="M855">
        <v>23680</v>
      </c>
    </row>
    <row r="856" spans="2:13" x14ac:dyDescent="0.55000000000000004">
      <c r="B856" s="30">
        <v>45096</v>
      </c>
      <c r="C856">
        <v>2783</v>
      </c>
      <c r="L856" s="30">
        <v>45135</v>
      </c>
      <c r="M856">
        <v>23685</v>
      </c>
    </row>
    <row r="857" spans="2:13" x14ac:dyDescent="0.55000000000000004">
      <c r="B857" s="30">
        <v>45093</v>
      </c>
      <c r="C857">
        <v>2747</v>
      </c>
      <c r="L857" s="30">
        <v>45134</v>
      </c>
      <c r="M857">
        <v>23661</v>
      </c>
    </row>
    <row r="858" spans="2:13" x14ac:dyDescent="0.55000000000000004">
      <c r="B858" s="30">
        <v>45092</v>
      </c>
      <c r="C858">
        <v>2757</v>
      </c>
      <c r="L858" s="30">
        <v>45133</v>
      </c>
      <c r="M858">
        <v>23665</v>
      </c>
    </row>
    <row r="859" spans="2:13" x14ac:dyDescent="0.55000000000000004">
      <c r="B859" s="30">
        <v>45091</v>
      </c>
      <c r="C859">
        <v>2694</v>
      </c>
      <c r="L859" s="30">
        <v>45132</v>
      </c>
      <c r="M859">
        <v>23655</v>
      </c>
    </row>
    <row r="860" spans="2:13" x14ac:dyDescent="0.55000000000000004">
      <c r="B860" s="30">
        <v>45090</v>
      </c>
      <c r="C860">
        <v>2689</v>
      </c>
      <c r="L860" s="30">
        <v>45131</v>
      </c>
      <c r="M860">
        <v>23665</v>
      </c>
    </row>
    <row r="861" spans="2:13" x14ac:dyDescent="0.55000000000000004">
      <c r="B861" s="30">
        <v>45089</v>
      </c>
      <c r="C861">
        <v>2681</v>
      </c>
      <c r="L861" s="30">
        <v>45128</v>
      </c>
      <c r="M861">
        <v>23656</v>
      </c>
    </row>
    <row r="862" spans="2:13" x14ac:dyDescent="0.55000000000000004">
      <c r="B862" s="30">
        <v>45086</v>
      </c>
      <c r="C862">
        <v>2702</v>
      </c>
      <c r="L862" s="30">
        <v>45127</v>
      </c>
      <c r="M862">
        <v>23647</v>
      </c>
    </row>
    <row r="863" spans="2:13" x14ac:dyDescent="0.55000000000000004">
      <c r="B863" s="30">
        <v>45085</v>
      </c>
      <c r="C863">
        <v>2726</v>
      </c>
      <c r="L863" s="30">
        <v>45126</v>
      </c>
      <c r="M863">
        <v>23630</v>
      </c>
    </row>
    <row r="864" spans="2:13" x14ac:dyDescent="0.55000000000000004">
      <c r="B864" s="30">
        <v>45084</v>
      </c>
      <c r="C864">
        <v>2636</v>
      </c>
      <c r="L864" s="30">
        <v>45125</v>
      </c>
      <c r="M864">
        <v>23635</v>
      </c>
    </row>
    <row r="865" spans="2:13" x14ac:dyDescent="0.55000000000000004">
      <c r="B865" s="30">
        <v>45083</v>
      </c>
      <c r="C865">
        <v>2583</v>
      </c>
      <c r="L865" s="30">
        <v>45124</v>
      </c>
      <c r="M865">
        <v>23630</v>
      </c>
    </row>
    <row r="866" spans="2:13" x14ac:dyDescent="0.55000000000000004">
      <c r="B866" s="30">
        <v>45082</v>
      </c>
      <c r="C866">
        <v>2574</v>
      </c>
      <c r="L866" s="30">
        <v>45121</v>
      </c>
      <c r="M866">
        <v>23630</v>
      </c>
    </row>
    <row r="867" spans="2:13" x14ac:dyDescent="0.55000000000000004">
      <c r="B867" s="30">
        <v>45079</v>
      </c>
      <c r="C867">
        <v>2542</v>
      </c>
      <c r="L867" s="30">
        <v>45120</v>
      </c>
      <c r="M867">
        <v>23665</v>
      </c>
    </row>
    <row r="868" spans="2:13" x14ac:dyDescent="0.55000000000000004">
      <c r="B868" s="30">
        <v>45078</v>
      </c>
      <c r="C868">
        <v>2567</v>
      </c>
      <c r="L868" s="30">
        <v>45119</v>
      </c>
      <c r="M868">
        <v>23660</v>
      </c>
    </row>
    <row r="869" spans="2:13" x14ac:dyDescent="0.55000000000000004">
      <c r="B869" s="30">
        <v>45077</v>
      </c>
      <c r="C869">
        <v>2520</v>
      </c>
      <c r="L869" s="30">
        <v>45118</v>
      </c>
      <c r="M869">
        <v>23690</v>
      </c>
    </row>
    <row r="870" spans="2:13" x14ac:dyDescent="0.55000000000000004">
      <c r="B870" s="30">
        <v>45076</v>
      </c>
      <c r="C870">
        <v>2520</v>
      </c>
      <c r="L870" s="30">
        <v>45117</v>
      </c>
      <c r="M870">
        <v>23640</v>
      </c>
    </row>
    <row r="871" spans="2:13" x14ac:dyDescent="0.55000000000000004">
      <c r="B871" s="30">
        <v>45072</v>
      </c>
      <c r="C871">
        <v>2528</v>
      </c>
      <c r="L871" s="30">
        <v>45114</v>
      </c>
      <c r="M871">
        <v>23635</v>
      </c>
    </row>
    <row r="872" spans="2:13" x14ac:dyDescent="0.55000000000000004">
      <c r="B872" s="30">
        <v>45071</v>
      </c>
      <c r="C872">
        <v>2508</v>
      </c>
      <c r="L872" s="30">
        <v>45113</v>
      </c>
      <c r="M872">
        <v>23710</v>
      </c>
    </row>
    <row r="873" spans="2:13" x14ac:dyDescent="0.55000000000000004">
      <c r="B873" s="30">
        <v>45070</v>
      </c>
      <c r="C873">
        <v>2573</v>
      </c>
      <c r="L873" s="30">
        <v>45112</v>
      </c>
      <c r="M873">
        <v>23745</v>
      </c>
    </row>
    <row r="874" spans="2:13" x14ac:dyDescent="0.55000000000000004">
      <c r="B874" s="30">
        <v>45069</v>
      </c>
      <c r="C874">
        <v>2557</v>
      </c>
      <c r="L874" s="30">
        <v>45111</v>
      </c>
      <c r="M874">
        <v>23700</v>
      </c>
    </row>
    <row r="875" spans="2:13" x14ac:dyDescent="0.55000000000000004">
      <c r="B875" s="30">
        <v>45068</v>
      </c>
      <c r="C875">
        <v>2629</v>
      </c>
      <c r="L875" s="30">
        <v>45110</v>
      </c>
      <c r="M875">
        <v>23695</v>
      </c>
    </row>
    <row r="876" spans="2:13" x14ac:dyDescent="0.55000000000000004">
      <c r="B876" s="30">
        <v>45065</v>
      </c>
      <c r="C876">
        <v>2588</v>
      </c>
      <c r="L876" s="30">
        <v>45107</v>
      </c>
      <c r="M876">
        <v>23575</v>
      </c>
    </row>
    <row r="877" spans="2:13" x14ac:dyDescent="0.55000000000000004">
      <c r="B877" s="30">
        <v>45064</v>
      </c>
      <c r="C877">
        <v>2540</v>
      </c>
      <c r="L877" s="30">
        <v>45106</v>
      </c>
      <c r="M877">
        <v>23569</v>
      </c>
    </row>
    <row r="878" spans="2:13" x14ac:dyDescent="0.55000000000000004">
      <c r="B878" s="30">
        <v>45063</v>
      </c>
      <c r="C878">
        <v>2582</v>
      </c>
      <c r="L878" s="30">
        <v>45105</v>
      </c>
      <c r="M878">
        <v>23555</v>
      </c>
    </row>
    <row r="879" spans="2:13" x14ac:dyDescent="0.55000000000000004">
      <c r="B879" s="30">
        <v>45062</v>
      </c>
      <c r="C879">
        <v>2511</v>
      </c>
      <c r="L879" s="30">
        <v>45104</v>
      </c>
      <c r="M879">
        <v>23520</v>
      </c>
    </row>
    <row r="880" spans="2:13" x14ac:dyDescent="0.55000000000000004">
      <c r="B880" s="30">
        <v>45061</v>
      </c>
      <c r="C880">
        <v>2488</v>
      </c>
      <c r="L880" s="30">
        <v>45103</v>
      </c>
      <c r="M880">
        <v>23530</v>
      </c>
    </row>
    <row r="881" spans="2:13" x14ac:dyDescent="0.55000000000000004">
      <c r="B881" s="30">
        <v>45058</v>
      </c>
      <c r="C881">
        <v>2432</v>
      </c>
      <c r="L881" s="30">
        <v>45100</v>
      </c>
      <c r="M881">
        <v>23515</v>
      </c>
    </row>
    <row r="882" spans="2:13" x14ac:dyDescent="0.55000000000000004">
      <c r="B882" s="30">
        <v>45057</v>
      </c>
      <c r="C882">
        <v>2393</v>
      </c>
      <c r="L882" s="30">
        <v>45099</v>
      </c>
      <c r="M882">
        <v>23515</v>
      </c>
    </row>
    <row r="883" spans="2:13" x14ac:dyDescent="0.55000000000000004">
      <c r="B883" s="30">
        <v>45056</v>
      </c>
      <c r="C883">
        <v>2481</v>
      </c>
      <c r="L883" s="30">
        <v>45098</v>
      </c>
      <c r="M883">
        <v>23505</v>
      </c>
    </row>
    <row r="884" spans="2:13" x14ac:dyDescent="0.55000000000000004">
      <c r="B884" s="30">
        <v>45055</v>
      </c>
      <c r="C884">
        <v>2465</v>
      </c>
      <c r="L884" s="30">
        <v>45097</v>
      </c>
      <c r="M884">
        <v>23520</v>
      </c>
    </row>
    <row r="885" spans="2:13" x14ac:dyDescent="0.55000000000000004">
      <c r="B885" s="30">
        <v>45051</v>
      </c>
      <c r="C885">
        <v>2471</v>
      </c>
      <c r="L885" s="30">
        <v>45096</v>
      </c>
      <c r="M885">
        <v>23520</v>
      </c>
    </row>
    <row r="886" spans="2:13" x14ac:dyDescent="0.55000000000000004">
      <c r="B886" s="30">
        <v>45050</v>
      </c>
      <c r="C886">
        <v>2412</v>
      </c>
      <c r="L886" s="30">
        <v>45093</v>
      </c>
      <c r="M886">
        <v>23520</v>
      </c>
    </row>
    <row r="887" spans="2:13" x14ac:dyDescent="0.55000000000000004">
      <c r="B887" s="30">
        <v>45049</v>
      </c>
      <c r="C887">
        <v>2424</v>
      </c>
      <c r="L887" s="30">
        <v>45092</v>
      </c>
      <c r="M887">
        <v>23525</v>
      </c>
    </row>
    <row r="888" spans="2:13" x14ac:dyDescent="0.55000000000000004">
      <c r="B888" s="30">
        <v>45048</v>
      </c>
      <c r="C888">
        <v>2424</v>
      </c>
      <c r="L888" s="30">
        <v>45091</v>
      </c>
      <c r="M888">
        <v>23500</v>
      </c>
    </row>
    <row r="889" spans="2:13" x14ac:dyDescent="0.55000000000000004">
      <c r="B889" s="30">
        <v>45044</v>
      </c>
      <c r="C889">
        <v>2409</v>
      </c>
      <c r="L889" s="30">
        <v>45090</v>
      </c>
      <c r="M889">
        <v>23495</v>
      </c>
    </row>
    <row r="890" spans="2:13" x14ac:dyDescent="0.55000000000000004">
      <c r="B890" s="30">
        <v>45043</v>
      </c>
      <c r="C890">
        <v>2405</v>
      </c>
      <c r="L890" s="30">
        <v>45089</v>
      </c>
      <c r="M890">
        <v>23480</v>
      </c>
    </row>
    <row r="891" spans="2:13" x14ac:dyDescent="0.55000000000000004">
      <c r="B891" s="30">
        <v>45042</v>
      </c>
      <c r="C891">
        <v>2413</v>
      </c>
      <c r="L891" s="30">
        <v>45086</v>
      </c>
      <c r="M891">
        <v>23470</v>
      </c>
    </row>
    <row r="892" spans="2:13" x14ac:dyDescent="0.55000000000000004">
      <c r="B892" s="30">
        <v>45041</v>
      </c>
      <c r="C892">
        <v>2419</v>
      </c>
      <c r="L892" s="30">
        <v>45085</v>
      </c>
      <c r="M892">
        <v>23490</v>
      </c>
    </row>
    <row r="893" spans="2:13" x14ac:dyDescent="0.55000000000000004">
      <c r="B893" s="30">
        <v>45040</v>
      </c>
      <c r="C893">
        <v>2444</v>
      </c>
      <c r="L893" s="30">
        <v>45084</v>
      </c>
      <c r="M893">
        <v>23485</v>
      </c>
    </row>
    <row r="894" spans="2:13" x14ac:dyDescent="0.55000000000000004">
      <c r="B894" s="30">
        <v>45037</v>
      </c>
      <c r="C894">
        <v>2382</v>
      </c>
      <c r="L894" s="30">
        <v>45083</v>
      </c>
      <c r="M894">
        <v>23485</v>
      </c>
    </row>
    <row r="895" spans="2:13" x14ac:dyDescent="0.55000000000000004">
      <c r="B895" s="30">
        <v>45036</v>
      </c>
      <c r="C895">
        <v>2374</v>
      </c>
      <c r="L895" s="30">
        <v>45082</v>
      </c>
      <c r="M895">
        <v>23495</v>
      </c>
    </row>
    <row r="896" spans="2:13" x14ac:dyDescent="0.55000000000000004">
      <c r="B896" s="30">
        <v>45035</v>
      </c>
      <c r="C896">
        <v>2386</v>
      </c>
      <c r="L896" s="30">
        <v>45079</v>
      </c>
      <c r="M896">
        <v>23475</v>
      </c>
    </row>
    <row r="897" spans="2:13" x14ac:dyDescent="0.55000000000000004">
      <c r="B897" s="30">
        <v>45034</v>
      </c>
      <c r="C897">
        <v>2379</v>
      </c>
      <c r="L897" s="30">
        <v>45078</v>
      </c>
      <c r="M897">
        <v>23485</v>
      </c>
    </row>
    <row r="898" spans="2:13" x14ac:dyDescent="0.55000000000000004">
      <c r="B898" s="30">
        <v>45033</v>
      </c>
      <c r="C898">
        <v>2370</v>
      </c>
      <c r="L898" s="30">
        <v>45077</v>
      </c>
      <c r="M898">
        <v>23485</v>
      </c>
    </row>
    <row r="899" spans="2:13" x14ac:dyDescent="0.55000000000000004">
      <c r="B899" s="30">
        <v>45030</v>
      </c>
      <c r="C899">
        <v>2344</v>
      </c>
      <c r="L899" s="30">
        <v>45076</v>
      </c>
      <c r="M899">
        <v>23480</v>
      </c>
    </row>
    <row r="900" spans="2:13" x14ac:dyDescent="0.55000000000000004">
      <c r="B900" s="30">
        <v>45029</v>
      </c>
      <c r="C900">
        <v>2382</v>
      </c>
      <c r="L900" s="30">
        <v>45075</v>
      </c>
      <c r="M900">
        <v>23465</v>
      </c>
    </row>
    <row r="901" spans="2:13" x14ac:dyDescent="0.55000000000000004">
      <c r="B901" s="30">
        <v>45028</v>
      </c>
      <c r="C901">
        <v>2332</v>
      </c>
      <c r="L901" s="30">
        <v>45072</v>
      </c>
      <c r="M901">
        <v>23475</v>
      </c>
    </row>
    <row r="902" spans="2:13" x14ac:dyDescent="0.55000000000000004">
      <c r="B902" s="30">
        <v>45027</v>
      </c>
      <c r="C902">
        <v>2323</v>
      </c>
      <c r="L902" s="30">
        <v>45071</v>
      </c>
      <c r="M902">
        <v>23470</v>
      </c>
    </row>
    <row r="903" spans="2:13" x14ac:dyDescent="0.55000000000000004">
      <c r="B903" s="30">
        <v>45022</v>
      </c>
      <c r="C903">
        <v>2256</v>
      </c>
      <c r="L903" s="30">
        <v>45070</v>
      </c>
      <c r="M903">
        <v>23470</v>
      </c>
    </row>
    <row r="904" spans="2:13" x14ac:dyDescent="0.55000000000000004">
      <c r="B904" s="30">
        <v>45021</v>
      </c>
      <c r="C904">
        <v>2274</v>
      </c>
      <c r="L904" s="30">
        <v>45069</v>
      </c>
      <c r="M904">
        <v>23470</v>
      </c>
    </row>
    <row r="905" spans="2:13" x14ac:dyDescent="0.55000000000000004">
      <c r="B905" s="30">
        <v>45020</v>
      </c>
      <c r="C905">
        <v>2219</v>
      </c>
      <c r="L905" s="30">
        <v>45068</v>
      </c>
      <c r="M905">
        <v>23438</v>
      </c>
    </row>
    <row r="906" spans="2:13" x14ac:dyDescent="0.55000000000000004">
      <c r="B906" s="30">
        <v>45019</v>
      </c>
      <c r="C906">
        <v>2195</v>
      </c>
      <c r="L906" s="30">
        <v>45065</v>
      </c>
      <c r="M906">
        <v>23460</v>
      </c>
    </row>
    <row r="907" spans="2:13" x14ac:dyDescent="0.55000000000000004">
      <c r="B907" s="30">
        <v>45016</v>
      </c>
      <c r="C907">
        <v>2173</v>
      </c>
      <c r="L907" s="30">
        <v>45064</v>
      </c>
      <c r="M907">
        <v>23450</v>
      </c>
    </row>
    <row r="908" spans="2:13" x14ac:dyDescent="0.55000000000000004">
      <c r="B908" s="30">
        <v>45015</v>
      </c>
      <c r="C908">
        <v>2171</v>
      </c>
      <c r="L908" s="30">
        <v>45063</v>
      </c>
      <c r="M908">
        <v>23450</v>
      </c>
    </row>
    <row r="909" spans="2:13" x14ac:dyDescent="0.55000000000000004">
      <c r="B909" s="30">
        <v>45014</v>
      </c>
      <c r="C909">
        <v>2133</v>
      </c>
      <c r="L909" s="30">
        <v>45062</v>
      </c>
      <c r="M909">
        <v>23450</v>
      </c>
    </row>
    <row r="910" spans="2:13" x14ac:dyDescent="0.55000000000000004">
      <c r="B910" s="30">
        <v>45013</v>
      </c>
      <c r="C910">
        <v>2142</v>
      </c>
      <c r="L910" s="30">
        <v>45061</v>
      </c>
      <c r="M910">
        <v>23458</v>
      </c>
    </row>
    <row r="911" spans="2:13" x14ac:dyDescent="0.55000000000000004">
      <c r="B911" s="30">
        <v>45012</v>
      </c>
      <c r="C911">
        <v>2214</v>
      </c>
      <c r="L911" s="30">
        <v>45058</v>
      </c>
      <c r="M911">
        <v>23450</v>
      </c>
    </row>
    <row r="912" spans="2:13" x14ac:dyDescent="0.55000000000000004">
      <c r="B912" s="30">
        <v>45009</v>
      </c>
      <c r="C912">
        <v>2189</v>
      </c>
      <c r="L912" s="30">
        <v>45057</v>
      </c>
      <c r="M912">
        <v>23465</v>
      </c>
    </row>
    <row r="913" spans="2:13" x14ac:dyDescent="0.55000000000000004">
      <c r="B913" s="30">
        <v>45008</v>
      </c>
      <c r="C913">
        <v>2124</v>
      </c>
      <c r="L913" s="30">
        <v>45056</v>
      </c>
      <c r="M913">
        <v>23465</v>
      </c>
    </row>
    <row r="914" spans="2:13" x14ac:dyDescent="0.55000000000000004">
      <c r="B914" s="30">
        <v>45007</v>
      </c>
      <c r="C914">
        <v>2112</v>
      </c>
      <c r="L914" s="30">
        <v>45055</v>
      </c>
      <c r="M914">
        <v>23460</v>
      </c>
    </row>
    <row r="915" spans="2:13" x14ac:dyDescent="0.55000000000000004">
      <c r="B915" s="30">
        <v>45006</v>
      </c>
      <c r="C915">
        <v>2130</v>
      </c>
      <c r="L915" s="30">
        <v>45054</v>
      </c>
      <c r="M915">
        <v>23443</v>
      </c>
    </row>
    <row r="916" spans="2:13" x14ac:dyDescent="0.55000000000000004">
      <c r="B916" s="30">
        <v>45005</v>
      </c>
      <c r="C916">
        <v>2087</v>
      </c>
      <c r="L916" s="30">
        <v>45051</v>
      </c>
      <c r="M916">
        <v>23440</v>
      </c>
    </row>
    <row r="917" spans="2:13" x14ac:dyDescent="0.55000000000000004">
      <c r="B917" s="30">
        <v>45002</v>
      </c>
      <c r="C917">
        <v>2064</v>
      </c>
      <c r="L917" s="30">
        <v>45050</v>
      </c>
      <c r="M917">
        <v>23445</v>
      </c>
    </row>
    <row r="918" spans="2:13" x14ac:dyDescent="0.55000000000000004">
      <c r="B918" s="30">
        <v>45001</v>
      </c>
      <c r="C918">
        <v>2104</v>
      </c>
      <c r="L918" s="30">
        <v>45049</v>
      </c>
      <c r="M918">
        <v>23450</v>
      </c>
    </row>
    <row r="919" spans="2:13" x14ac:dyDescent="0.55000000000000004">
      <c r="B919" s="30">
        <v>45000</v>
      </c>
      <c r="C919">
        <v>2069</v>
      </c>
      <c r="L919" s="30">
        <v>45048</v>
      </c>
      <c r="M919">
        <v>23450</v>
      </c>
    </row>
    <row r="920" spans="2:13" x14ac:dyDescent="0.55000000000000004">
      <c r="B920" s="30">
        <v>44999</v>
      </c>
      <c r="C920">
        <v>2080</v>
      </c>
      <c r="L920" s="30">
        <v>45047</v>
      </c>
      <c r="M920">
        <v>23450</v>
      </c>
    </row>
    <row r="921" spans="2:13" x14ac:dyDescent="0.55000000000000004">
      <c r="B921" s="30">
        <v>44998</v>
      </c>
      <c r="C921">
        <v>2113</v>
      </c>
      <c r="L921" s="30">
        <v>45044</v>
      </c>
      <c r="M921">
        <v>23450</v>
      </c>
    </row>
    <row r="922" spans="2:13" x14ac:dyDescent="0.55000000000000004">
      <c r="B922" s="30">
        <v>44995</v>
      </c>
      <c r="C922">
        <v>2140</v>
      </c>
      <c r="L922" s="30">
        <v>45043</v>
      </c>
      <c r="M922">
        <v>23445</v>
      </c>
    </row>
    <row r="923" spans="2:13" x14ac:dyDescent="0.55000000000000004">
      <c r="B923" s="30">
        <v>44994</v>
      </c>
      <c r="C923">
        <v>2168</v>
      </c>
      <c r="L923" s="30">
        <v>45042</v>
      </c>
      <c r="M923">
        <v>23465</v>
      </c>
    </row>
    <row r="924" spans="2:13" x14ac:dyDescent="0.55000000000000004">
      <c r="B924" s="30">
        <v>44993</v>
      </c>
      <c r="C924">
        <v>2159</v>
      </c>
      <c r="L924" s="30">
        <v>45041</v>
      </c>
      <c r="M924">
        <v>23473</v>
      </c>
    </row>
    <row r="925" spans="2:13" x14ac:dyDescent="0.55000000000000004">
      <c r="B925" s="30">
        <v>44992</v>
      </c>
      <c r="C925">
        <v>2152</v>
      </c>
      <c r="L925" s="30">
        <v>45040</v>
      </c>
      <c r="M925">
        <v>23494</v>
      </c>
    </row>
    <row r="926" spans="2:13" x14ac:dyDescent="0.55000000000000004">
      <c r="B926" s="30">
        <v>44991</v>
      </c>
      <c r="C926">
        <v>2153</v>
      </c>
      <c r="L926" s="30">
        <v>45037</v>
      </c>
      <c r="M926">
        <v>23485</v>
      </c>
    </row>
    <row r="927" spans="2:13" x14ac:dyDescent="0.55000000000000004">
      <c r="B927" s="30">
        <v>44988</v>
      </c>
      <c r="C927">
        <v>2162</v>
      </c>
      <c r="L927" s="30">
        <v>45036</v>
      </c>
      <c r="M927">
        <v>23488</v>
      </c>
    </row>
    <row r="928" spans="2:13" x14ac:dyDescent="0.55000000000000004">
      <c r="B928" s="30">
        <v>44987</v>
      </c>
      <c r="C928">
        <v>2180</v>
      </c>
      <c r="L928" s="30">
        <v>45035</v>
      </c>
      <c r="M928">
        <v>23511</v>
      </c>
    </row>
    <row r="929" spans="2:13" x14ac:dyDescent="0.55000000000000004">
      <c r="B929" s="30">
        <v>44986</v>
      </c>
      <c r="C929">
        <v>2177</v>
      </c>
      <c r="L929" s="30">
        <v>45034</v>
      </c>
      <c r="M929">
        <v>23505</v>
      </c>
    </row>
    <row r="930" spans="2:13" x14ac:dyDescent="0.55000000000000004">
      <c r="B930" s="30">
        <v>44985</v>
      </c>
      <c r="C930">
        <v>2140</v>
      </c>
      <c r="L930" s="30">
        <v>45033</v>
      </c>
      <c r="M930">
        <v>23485</v>
      </c>
    </row>
    <row r="931" spans="2:13" x14ac:dyDescent="0.55000000000000004">
      <c r="B931" s="30">
        <v>44984</v>
      </c>
      <c r="C931">
        <v>2133</v>
      </c>
      <c r="L931" s="30">
        <v>45030</v>
      </c>
      <c r="M931">
        <v>23440</v>
      </c>
    </row>
    <row r="932" spans="2:13" x14ac:dyDescent="0.55000000000000004">
      <c r="B932" s="30">
        <v>44981</v>
      </c>
      <c r="C932">
        <v>2151</v>
      </c>
      <c r="L932" s="30">
        <v>45029</v>
      </c>
      <c r="M932">
        <v>23440</v>
      </c>
    </row>
    <row r="933" spans="2:13" x14ac:dyDescent="0.55000000000000004">
      <c r="B933" s="30">
        <v>44980</v>
      </c>
      <c r="C933">
        <v>2161</v>
      </c>
      <c r="L933" s="30">
        <v>45028</v>
      </c>
      <c r="M933">
        <v>23442</v>
      </c>
    </row>
    <row r="934" spans="2:13" x14ac:dyDescent="0.55000000000000004">
      <c r="B934" s="30">
        <v>44979</v>
      </c>
      <c r="C934">
        <v>2205</v>
      </c>
      <c r="L934" s="30">
        <v>45027</v>
      </c>
      <c r="M934">
        <v>23445</v>
      </c>
    </row>
    <row r="935" spans="2:13" x14ac:dyDescent="0.55000000000000004">
      <c r="B935" s="30">
        <v>44978</v>
      </c>
      <c r="C935">
        <v>2133</v>
      </c>
      <c r="L935" s="30">
        <v>45026</v>
      </c>
      <c r="M935">
        <v>23440</v>
      </c>
    </row>
    <row r="936" spans="2:13" x14ac:dyDescent="0.55000000000000004">
      <c r="B936" s="30">
        <v>44977</v>
      </c>
      <c r="C936">
        <v>2117</v>
      </c>
      <c r="L936" s="30">
        <v>45023</v>
      </c>
      <c r="M936">
        <v>23442</v>
      </c>
    </row>
    <row r="937" spans="2:13" x14ac:dyDescent="0.55000000000000004">
      <c r="B937" s="30">
        <v>44974</v>
      </c>
      <c r="C937">
        <v>2098</v>
      </c>
      <c r="L937" s="30">
        <v>45022</v>
      </c>
      <c r="M937">
        <v>23451</v>
      </c>
    </row>
    <row r="938" spans="2:13" x14ac:dyDescent="0.55000000000000004">
      <c r="B938" s="30">
        <v>44973</v>
      </c>
      <c r="C938">
        <v>2072</v>
      </c>
      <c r="L938" s="30">
        <v>45021</v>
      </c>
      <c r="M938">
        <v>23465</v>
      </c>
    </row>
    <row r="939" spans="2:13" x14ac:dyDescent="0.55000000000000004">
      <c r="B939" s="30">
        <v>44972</v>
      </c>
      <c r="C939">
        <v>2049</v>
      </c>
      <c r="L939" s="30">
        <v>45020</v>
      </c>
      <c r="M939">
        <v>23460</v>
      </c>
    </row>
    <row r="940" spans="2:13" x14ac:dyDescent="0.55000000000000004">
      <c r="B940" s="30">
        <v>44971</v>
      </c>
      <c r="C940">
        <v>2070</v>
      </c>
      <c r="L940" s="30">
        <v>45019</v>
      </c>
      <c r="M940">
        <v>23470</v>
      </c>
    </row>
    <row r="941" spans="2:13" x14ac:dyDescent="0.55000000000000004">
      <c r="B941" s="30">
        <v>44970</v>
      </c>
      <c r="C941">
        <v>2044</v>
      </c>
      <c r="L941" s="30">
        <v>45016</v>
      </c>
      <c r="M941">
        <v>23450</v>
      </c>
    </row>
    <row r="942" spans="2:13" x14ac:dyDescent="0.55000000000000004">
      <c r="B942" s="30">
        <v>44967</v>
      </c>
      <c r="C942">
        <v>2039</v>
      </c>
      <c r="L942" s="30">
        <v>45015</v>
      </c>
      <c r="M942">
        <v>23470</v>
      </c>
    </row>
    <row r="943" spans="2:13" x14ac:dyDescent="0.55000000000000004">
      <c r="B943" s="30">
        <v>44966</v>
      </c>
      <c r="C943">
        <v>2032</v>
      </c>
      <c r="L943" s="30">
        <v>45014</v>
      </c>
      <c r="M943">
        <v>23480</v>
      </c>
    </row>
    <row r="944" spans="2:13" x14ac:dyDescent="0.55000000000000004">
      <c r="B944" s="30">
        <v>44965</v>
      </c>
      <c r="C944">
        <v>2057</v>
      </c>
      <c r="L944" s="30">
        <v>45013</v>
      </c>
      <c r="M944">
        <v>23480</v>
      </c>
    </row>
    <row r="945" spans="2:13" x14ac:dyDescent="0.55000000000000004">
      <c r="B945" s="30">
        <v>44964</v>
      </c>
      <c r="C945">
        <v>2075</v>
      </c>
      <c r="L945" s="30">
        <v>45012</v>
      </c>
      <c r="M945">
        <v>23500</v>
      </c>
    </row>
    <row r="946" spans="2:13" x14ac:dyDescent="0.55000000000000004">
      <c r="B946" s="30">
        <v>44963</v>
      </c>
      <c r="C946">
        <v>2040</v>
      </c>
      <c r="L946" s="30">
        <v>45009</v>
      </c>
      <c r="M946">
        <v>23510</v>
      </c>
    </row>
    <row r="947" spans="2:13" x14ac:dyDescent="0.55000000000000004">
      <c r="B947" s="30">
        <v>44960</v>
      </c>
      <c r="C947">
        <v>2030</v>
      </c>
      <c r="L947" s="30">
        <v>45008</v>
      </c>
      <c r="M947">
        <v>23490</v>
      </c>
    </row>
    <row r="948" spans="2:13" x14ac:dyDescent="0.55000000000000004">
      <c r="B948" s="30">
        <v>44959</v>
      </c>
      <c r="C948">
        <v>2044</v>
      </c>
      <c r="L948" s="30">
        <v>45007</v>
      </c>
      <c r="M948">
        <v>23510</v>
      </c>
    </row>
    <row r="949" spans="2:13" x14ac:dyDescent="0.55000000000000004">
      <c r="B949" s="30">
        <v>44958</v>
      </c>
      <c r="C949">
        <v>2042</v>
      </c>
      <c r="L949" s="30">
        <v>45006</v>
      </c>
      <c r="M949">
        <v>23570</v>
      </c>
    </row>
    <row r="950" spans="2:13" x14ac:dyDescent="0.55000000000000004">
      <c r="B950" s="30">
        <v>44957</v>
      </c>
      <c r="C950">
        <v>2078</v>
      </c>
      <c r="L950" s="30">
        <v>45005</v>
      </c>
      <c r="M950">
        <v>23570</v>
      </c>
    </row>
    <row r="951" spans="2:13" x14ac:dyDescent="0.55000000000000004">
      <c r="B951" s="30">
        <v>44956</v>
      </c>
      <c r="C951">
        <v>2010</v>
      </c>
      <c r="L951" s="30">
        <v>45002</v>
      </c>
      <c r="M951">
        <v>23570</v>
      </c>
    </row>
    <row r="952" spans="2:13" x14ac:dyDescent="0.55000000000000004">
      <c r="B952" s="30">
        <v>44953</v>
      </c>
      <c r="C952">
        <v>2016</v>
      </c>
      <c r="L952" s="30">
        <v>45001</v>
      </c>
      <c r="M952">
        <v>23560</v>
      </c>
    </row>
    <row r="953" spans="2:13" x14ac:dyDescent="0.55000000000000004">
      <c r="B953" s="30">
        <v>44952</v>
      </c>
      <c r="C953">
        <v>1962</v>
      </c>
      <c r="L953" s="30">
        <v>45000</v>
      </c>
      <c r="M953">
        <v>23565</v>
      </c>
    </row>
    <row r="954" spans="2:13" x14ac:dyDescent="0.55000000000000004">
      <c r="B954" s="30">
        <v>44951</v>
      </c>
      <c r="C954">
        <v>1970</v>
      </c>
      <c r="L954" s="30">
        <v>44999</v>
      </c>
      <c r="M954">
        <v>23570</v>
      </c>
    </row>
    <row r="955" spans="2:13" x14ac:dyDescent="0.55000000000000004">
      <c r="B955" s="30">
        <v>44950</v>
      </c>
      <c r="C955">
        <v>1943</v>
      </c>
      <c r="L955" s="30">
        <v>44998</v>
      </c>
      <c r="M955">
        <v>23570</v>
      </c>
    </row>
    <row r="956" spans="2:13" x14ac:dyDescent="0.55000000000000004">
      <c r="B956" s="30">
        <v>44949</v>
      </c>
      <c r="C956">
        <v>1941</v>
      </c>
      <c r="L956" s="30">
        <v>44995</v>
      </c>
      <c r="M956">
        <v>23660</v>
      </c>
    </row>
    <row r="957" spans="2:13" x14ac:dyDescent="0.55000000000000004">
      <c r="B957" s="30">
        <v>44946</v>
      </c>
      <c r="C957">
        <v>1944</v>
      </c>
      <c r="L957" s="30">
        <v>44994</v>
      </c>
      <c r="M957">
        <v>23680</v>
      </c>
    </row>
    <row r="958" spans="2:13" x14ac:dyDescent="0.55000000000000004">
      <c r="B958" s="30">
        <v>44945</v>
      </c>
      <c r="C958">
        <v>1918</v>
      </c>
      <c r="L958" s="30">
        <v>44993</v>
      </c>
      <c r="M958">
        <v>23710</v>
      </c>
    </row>
    <row r="959" spans="2:13" x14ac:dyDescent="0.55000000000000004">
      <c r="B959" s="30">
        <v>44944</v>
      </c>
      <c r="C959">
        <v>1902</v>
      </c>
      <c r="L959" s="30">
        <v>44992</v>
      </c>
      <c r="M959">
        <v>23640</v>
      </c>
    </row>
    <row r="960" spans="2:13" x14ac:dyDescent="0.55000000000000004">
      <c r="B960" s="30">
        <v>44943</v>
      </c>
      <c r="C960">
        <v>1895</v>
      </c>
      <c r="L960" s="30">
        <v>44991</v>
      </c>
      <c r="M960">
        <v>23650</v>
      </c>
    </row>
    <row r="961" spans="2:13" x14ac:dyDescent="0.55000000000000004">
      <c r="B961" s="30">
        <v>44942</v>
      </c>
      <c r="C961">
        <v>1907</v>
      </c>
      <c r="L961" s="30">
        <v>44988</v>
      </c>
      <c r="M961">
        <v>23710</v>
      </c>
    </row>
    <row r="962" spans="2:13" x14ac:dyDescent="0.55000000000000004">
      <c r="B962" s="30">
        <v>44939</v>
      </c>
      <c r="C962">
        <v>1916</v>
      </c>
      <c r="L962" s="30">
        <v>44987</v>
      </c>
      <c r="M962">
        <v>23700</v>
      </c>
    </row>
    <row r="963" spans="2:13" x14ac:dyDescent="0.55000000000000004">
      <c r="B963" s="30">
        <v>44938</v>
      </c>
      <c r="C963">
        <v>1881</v>
      </c>
      <c r="L963" s="30">
        <v>44986</v>
      </c>
      <c r="M963">
        <v>23710</v>
      </c>
    </row>
    <row r="964" spans="2:13" x14ac:dyDescent="0.55000000000000004">
      <c r="B964" s="30">
        <v>44937</v>
      </c>
      <c r="C964">
        <v>1811</v>
      </c>
      <c r="L964" s="30">
        <v>44985</v>
      </c>
      <c r="M964">
        <v>23740</v>
      </c>
    </row>
    <row r="965" spans="2:13" x14ac:dyDescent="0.55000000000000004">
      <c r="B965" s="30">
        <v>44936</v>
      </c>
      <c r="C965">
        <v>1840</v>
      </c>
      <c r="L965" s="30">
        <v>44984</v>
      </c>
      <c r="M965">
        <v>23805</v>
      </c>
    </row>
    <row r="966" spans="2:13" x14ac:dyDescent="0.55000000000000004">
      <c r="B966" s="30">
        <v>44935</v>
      </c>
      <c r="C966">
        <v>1860</v>
      </c>
      <c r="L966" s="30">
        <v>44981</v>
      </c>
      <c r="M966">
        <v>23780</v>
      </c>
    </row>
    <row r="967" spans="2:13" x14ac:dyDescent="0.55000000000000004">
      <c r="B967" s="30">
        <v>44932</v>
      </c>
      <c r="C967">
        <v>1825</v>
      </c>
      <c r="L967" s="30">
        <v>44980</v>
      </c>
      <c r="M967">
        <v>23815</v>
      </c>
    </row>
    <row r="968" spans="2:13" x14ac:dyDescent="0.55000000000000004">
      <c r="B968" s="30">
        <v>44931</v>
      </c>
      <c r="C968">
        <v>1832</v>
      </c>
      <c r="L968" s="30">
        <v>44979</v>
      </c>
      <c r="M968">
        <v>23780</v>
      </c>
    </row>
    <row r="969" spans="2:13" x14ac:dyDescent="0.55000000000000004">
      <c r="B969" s="30">
        <v>44930</v>
      </c>
      <c r="C969">
        <v>1873</v>
      </c>
      <c r="L969" s="30">
        <v>44978</v>
      </c>
      <c r="M969">
        <v>23705</v>
      </c>
    </row>
    <row r="970" spans="2:13" x14ac:dyDescent="0.55000000000000004">
      <c r="B970" s="30">
        <v>44929</v>
      </c>
      <c r="C970">
        <v>1852</v>
      </c>
      <c r="L970" s="30">
        <v>44977</v>
      </c>
      <c r="M970">
        <v>23725</v>
      </c>
    </row>
    <row r="971" spans="2:13" x14ac:dyDescent="0.55000000000000004">
      <c r="B971" s="30">
        <v>44925</v>
      </c>
      <c r="C971">
        <v>1799</v>
      </c>
      <c r="L971" s="30">
        <v>44974</v>
      </c>
      <c r="M971">
        <v>23810</v>
      </c>
    </row>
    <row r="972" spans="2:13" x14ac:dyDescent="0.55000000000000004">
      <c r="B972" s="30">
        <v>44924</v>
      </c>
      <c r="C972">
        <v>1824</v>
      </c>
      <c r="L972" s="30">
        <v>44973</v>
      </c>
      <c r="M972">
        <v>23680</v>
      </c>
    </row>
    <row r="973" spans="2:13" x14ac:dyDescent="0.55000000000000004">
      <c r="B973" s="30">
        <v>44923</v>
      </c>
      <c r="C973">
        <v>1869</v>
      </c>
      <c r="L973" s="30">
        <v>44972</v>
      </c>
      <c r="M973">
        <v>23615</v>
      </c>
    </row>
    <row r="974" spans="2:13" x14ac:dyDescent="0.55000000000000004">
      <c r="B974" s="30">
        <v>44918</v>
      </c>
      <c r="C974">
        <v>1875</v>
      </c>
      <c r="L974" s="30">
        <v>44971</v>
      </c>
      <c r="M974">
        <v>23600</v>
      </c>
    </row>
    <row r="975" spans="2:13" x14ac:dyDescent="0.55000000000000004">
      <c r="B975" s="30">
        <v>44917</v>
      </c>
      <c r="C975">
        <v>1878</v>
      </c>
      <c r="L975" s="30">
        <v>44970</v>
      </c>
      <c r="M975">
        <v>23595</v>
      </c>
    </row>
    <row r="976" spans="2:13" x14ac:dyDescent="0.55000000000000004">
      <c r="B976" s="30">
        <v>44916</v>
      </c>
      <c r="C976">
        <v>1879</v>
      </c>
      <c r="L976" s="30">
        <v>44967</v>
      </c>
      <c r="M976">
        <v>23565</v>
      </c>
    </row>
    <row r="977" spans="2:13" x14ac:dyDescent="0.55000000000000004">
      <c r="B977" s="30">
        <v>44915</v>
      </c>
      <c r="C977">
        <v>1868</v>
      </c>
      <c r="L977" s="30">
        <v>44966</v>
      </c>
      <c r="M977">
        <v>23560</v>
      </c>
    </row>
    <row r="978" spans="2:13" x14ac:dyDescent="0.55000000000000004">
      <c r="B978" s="30">
        <v>44914</v>
      </c>
      <c r="C978">
        <v>1858</v>
      </c>
      <c r="L978" s="30">
        <v>44965</v>
      </c>
      <c r="M978">
        <v>23590</v>
      </c>
    </row>
    <row r="979" spans="2:13" x14ac:dyDescent="0.55000000000000004">
      <c r="B979" s="30">
        <v>44911</v>
      </c>
      <c r="C979">
        <v>1866</v>
      </c>
      <c r="L979" s="30">
        <v>44964</v>
      </c>
      <c r="M979">
        <v>23600</v>
      </c>
    </row>
    <row r="980" spans="2:13" x14ac:dyDescent="0.55000000000000004">
      <c r="B980" s="30">
        <v>44910</v>
      </c>
      <c r="C980">
        <v>1878</v>
      </c>
      <c r="L980" s="30">
        <v>44963</v>
      </c>
      <c r="M980">
        <v>23480</v>
      </c>
    </row>
    <row r="981" spans="2:13" x14ac:dyDescent="0.55000000000000004">
      <c r="B981" s="30">
        <v>44909</v>
      </c>
      <c r="C981">
        <v>1877</v>
      </c>
      <c r="L981" s="30">
        <v>44960</v>
      </c>
      <c r="M981">
        <v>23440</v>
      </c>
    </row>
    <row r="982" spans="2:13" x14ac:dyDescent="0.55000000000000004">
      <c r="B982" s="30">
        <v>44908</v>
      </c>
      <c r="C982">
        <v>1872</v>
      </c>
      <c r="L982" s="30">
        <v>44959</v>
      </c>
      <c r="M982">
        <v>23449</v>
      </c>
    </row>
    <row r="983" spans="2:13" x14ac:dyDescent="0.55000000000000004">
      <c r="B983" s="30">
        <v>44907</v>
      </c>
      <c r="C983">
        <v>1884</v>
      </c>
      <c r="L983" s="30">
        <v>44958</v>
      </c>
      <c r="M983">
        <v>23440</v>
      </c>
    </row>
    <row r="984" spans="2:13" x14ac:dyDescent="0.55000000000000004">
      <c r="B984" s="30">
        <v>44904</v>
      </c>
      <c r="C984">
        <v>1864</v>
      </c>
      <c r="L984" s="30">
        <v>44957</v>
      </c>
      <c r="M984">
        <v>23445</v>
      </c>
    </row>
    <row r="985" spans="2:13" x14ac:dyDescent="0.55000000000000004">
      <c r="B985" s="30">
        <v>44903</v>
      </c>
      <c r="C985">
        <v>1876</v>
      </c>
      <c r="L985" s="30">
        <v>44956</v>
      </c>
      <c r="M985">
        <v>23470</v>
      </c>
    </row>
    <row r="986" spans="2:13" x14ac:dyDescent="0.55000000000000004">
      <c r="B986" s="30">
        <v>44902</v>
      </c>
      <c r="C986">
        <v>1868</v>
      </c>
      <c r="L986" s="30">
        <v>44953</v>
      </c>
      <c r="M986">
        <v>23460</v>
      </c>
    </row>
    <row r="987" spans="2:13" x14ac:dyDescent="0.55000000000000004">
      <c r="B987" s="30">
        <v>44901</v>
      </c>
      <c r="C987">
        <v>1877</v>
      </c>
      <c r="L987" s="30">
        <v>44952</v>
      </c>
      <c r="M987">
        <v>23440</v>
      </c>
    </row>
    <row r="988" spans="2:13" x14ac:dyDescent="0.55000000000000004">
      <c r="B988" s="30">
        <v>44900</v>
      </c>
      <c r="C988">
        <v>1856</v>
      </c>
      <c r="L988" s="30">
        <v>44951</v>
      </c>
      <c r="M988">
        <v>23440</v>
      </c>
    </row>
    <row r="989" spans="2:13" x14ac:dyDescent="0.55000000000000004">
      <c r="B989" s="30">
        <v>44897</v>
      </c>
      <c r="C989">
        <v>1846</v>
      </c>
      <c r="L989" s="30">
        <v>44950</v>
      </c>
      <c r="M989">
        <v>23440</v>
      </c>
    </row>
    <row r="990" spans="2:13" x14ac:dyDescent="0.55000000000000004">
      <c r="B990" s="30">
        <v>44896</v>
      </c>
      <c r="C990">
        <v>1855</v>
      </c>
      <c r="L990" s="30">
        <v>44949</v>
      </c>
      <c r="M990">
        <v>23440</v>
      </c>
    </row>
    <row r="991" spans="2:13" x14ac:dyDescent="0.55000000000000004">
      <c r="B991" s="30">
        <v>44895</v>
      </c>
      <c r="C991">
        <v>1849</v>
      </c>
      <c r="L991" s="30">
        <v>44946</v>
      </c>
      <c r="M991">
        <v>23440</v>
      </c>
    </row>
    <row r="992" spans="2:13" x14ac:dyDescent="0.55000000000000004">
      <c r="B992" s="30">
        <v>44894</v>
      </c>
      <c r="C992">
        <v>1833</v>
      </c>
      <c r="L992" s="30">
        <v>44945</v>
      </c>
      <c r="M992">
        <v>23440</v>
      </c>
    </row>
    <row r="993" spans="2:13" x14ac:dyDescent="0.55000000000000004">
      <c r="B993" s="30">
        <v>44893</v>
      </c>
      <c r="C993">
        <v>1826</v>
      </c>
      <c r="L993" s="30">
        <v>44944</v>
      </c>
      <c r="M993">
        <v>23437</v>
      </c>
    </row>
    <row r="994" spans="2:13" x14ac:dyDescent="0.55000000000000004">
      <c r="B994" s="30">
        <v>44890</v>
      </c>
      <c r="C994">
        <v>1821</v>
      </c>
      <c r="L994" s="30">
        <v>44943</v>
      </c>
      <c r="M994">
        <v>23427</v>
      </c>
    </row>
    <row r="995" spans="2:13" x14ac:dyDescent="0.55000000000000004">
      <c r="B995" s="30">
        <v>44889</v>
      </c>
      <c r="C995">
        <v>1842</v>
      </c>
      <c r="L995" s="30">
        <v>44942</v>
      </c>
      <c r="M995">
        <v>23445</v>
      </c>
    </row>
    <row r="996" spans="2:13" x14ac:dyDescent="0.55000000000000004">
      <c r="B996" s="30">
        <v>44888</v>
      </c>
      <c r="C996">
        <v>1814</v>
      </c>
      <c r="L996" s="30">
        <v>44939</v>
      </c>
      <c r="M996">
        <v>23435</v>
      </c>
    </row>
    <row r="997" spans="2:13" x14ac:dyDescent="0.55000000000000004">
      <c r="B997" s="30">
        <v>44887</v>
      </c>
      <c r="C997">
        <v>1834</v>
      </c>
      <c r="L997" s="30">
        <v>44938</v>
      </c>
      <c r="M997">
        <v>23438</v>
      </c>
    </row>
    <row r="998" spans="2:13" x14ac:dyDescent="0.55000000000000004">
      <c r="B998" s="30">
        <v>44886</v>
      </c>
      <c r="C998">
        <v>1812</v>
      </c>
      <c r="L998" s="30">
        <v>44937</v>
      </c>
      <c r="M998">
        <v>23440</v>
      </c>
    </row>
    <row r="999" spans="2:13" x14ac:dyDescent="0.55000000000000004">
      <c r="B999" s="30">
        <v>44883</v>
      </c>
      <c r="C999">
        <v>1811</v>
      </c>
      <c r="L999" s="30">
        <v>44936</v>
      </c>
      <c r="M999">
        <v>23445</v>
      </c>
    </row>
    <row r="1000" spans="2:13" x14ac:dyDescent="0.55000000000000004">
      <c r="B1000" s="30">
        <v>44882</v>
      </c>
      <c r="C1000">
        <v>1818</v>
      </c>
      <c r="L1000" s="30">
        <v>44935</v>
      </c>
      <c r="M1000">
        <v>23447</v>
      </c>
    </row>
    <row r="1001" spans="2:13" x14ac:dyDescent="0.55000000000000004">
      <c r="B1001" s="30">
        <v>44881</v>
      </c>
      <c r="C1001">
        <v>1792</v>
      </c>
      <c r="L1001" s="30">
        <v>44932</v>
      </c>
      <c r="M1001">
        <v>23460</v>
      </c>
    </row>
    <row r="1002" spans="2:13" x14ac:dyDescent="0.55000000000000004">
      <c r="B1002" s="30">
        <v>44880</v>
      </c>
      <c r="C1002">
        <v>1802</v>
      </c>
      <c r="L1002" s="30">
        <v>44931</v>
      </c>
      <c r="M1002">
        <v>23475</v>
      </c>
    </row>
    <row r="1003" spans="2:13" x14ac:dyDescent="0.55000000000000004">
      <c r="B1003" s="30">
        <v>44879</v>
      </c>
      <c r="C1003">
        <v>1824</v>
      </c>
      <c r="L1003" s="30">
        <v>44930</v>
      </c>
      <c r="M1003">
        <v>23510</v>
      </c>
    </row>
    <row r="1004" spans="2:13" x14ac:dyDescent="0.55000000000000004">
      <c r="B1004" s="30">
        <v>44876</v>
      </c>
      <c r="C1004">
        <v>1836</v>
      </c>
      <c r="L1004" s="30">
        <v>44929</v>
      </c>
      <c r="M1004">
        <v>23515</v>
      </c>
    </row>
    <row r="1005" spans="2:13" x14ac:dyDescent="0.55000000000000004">
      <c r="B1005" s="30">
        <v>44169</v>
      </c>
      <c r="C1005">
        <v>1355</v>
      </c>
      <c r="L1005" s="30">
        <v>44928</v>
      </c>
      <c r="M1005">
        <v>23610</v>
      </c>
    </row>
    <row r="1006" spans="2:13" x14ac:dyDescent="0.55000000000000004">
      <c r="B1006" s="30">
        <v>44168</v>
      </c>
      <c r="C1006">
        <v>1371</v>
      </c>
      <c r="L1006" s="30">
        <v>44925</v>
      </c>
      <c r="M1006">
        <v>23610</v>
      </c>
    </row>
    <row r="1007" spans="2:13" x14ac:dyDescent="0.55000000000000004">
      <c r="B1007" s="30">
        <v>44167</v>
      </c>
      <c r="C1007">
        <v>1364</v>
      </c>
      <c r="L1007" s="30">
        <v>44924</v>
      </c>
      <c r="M1007">
        <v>23600</v>
      </c>
    </row>
    <row r="1008" spans="2:13" x14ac:dyDescent="0.55000000000000004">
      <c r="B1008" s="30">
        <v>44166</v>
      </c>
      <c r="C1008">
        <v>1388</v>
      </c>
      <c r="L1008" s="30">
        <v>44923</v>
      </c>
      <c r="M1008">
        <v>23620</v>
      </c>
    </row>
    <row r="1009" spans="2:13" x14ac:dyDescent="0.55000000000000004">
      <c r="B1009" s="30">
        <v>44165</v>
      </c>
      <c r="C1009">
        <v>1405</v>
      </c>
      <c r="L1009" s="30">
        <v>44922</v>
      </c>
      <c r="M1009">
        <v>23580</v>
      </c>
    </row>
    <row r="1010" spans="2:13" x14ac:dyDescent="0.55000000000000004">
      <c r="B1010" s="30">
        <v>44162</v>
      </c>
      <c r="C1010">
        <v>1413</v>
      </c>
      <c r="L1010" s="30">
        <v>44921</v>
      </c>
      <c r="M1010">
        <v>23590</v>
      </c>
    </row>
    <row r="1011" spans="2:13" x14ac:dyDescent="0.55000000000000004">
      <c r="B1011" s="30">
        <v>44161</v>
      </c>
      <c r="C1011">
        <v>1411</v>
      </c>
      <c r="L1011" s="30">
        <v>44918</v>
      </c>
      <c r="M1011">
        <v>23560</v>
      </c>
    </row>
    <row r="1012" spans="2:13" x14ac:dyDescent="0.55000000000000004">
      <c r="B1012" s="30">
        <v>44160</v>
      </c>
      <c r="C1012">
        <v>1376</v>
      </c>
      <c r="L1012" s="30">
        <v>44917</v>
      </c>
      <c r="M1012">
        <v>23630</v>
      </c>
    </row>
    <row r="1013" spans="2:13" x14ac:dyDescent="0.55000000000000004">
      <c r="B1013" s="30">
        <v>44159</v>
      </c>
      <c r="C1013">
        <v>1353</v>
      </c>
      <c r="L1013" s="30">
        <v>44916</v>
      </c>
      <c r="M1013">
        <v>23700</v>
      </c>
    </row>
    <row r="1014" spans="2:13" x14ac:dyDescent="0.55000000000000004">
      <c r="B1014" s="30">
        <v>44158</v>
      </c>
      <c r="C1014">
        <v>1378</v>
      </c>
      <c r="L1014" s="30">
        <v>44915</v>
      </c>
      <c r="M1014">
        <v>23730</v>
      </c>
    </row>
    <row r="1015" spans="2:13" x14ac:dyDescent="0.55000000000000004">
      <c r="B1015" s="30">
        <v>44155</v>
      </c>
      <c r="C1015">
        <v>1386</v>
      </c>
      <c r="L1015" s="30">
        <v>44914</v>
      </c>
      <c r="M1015">
        <v>23700</v>
      </c>
    </row>
    <row r="1016" spans="2:13" x14ac:dyDescent="0.55000000000000004">
      <c r="B1016" s="30">
        <v>44154</v>
      </c>
      <c r="C1016">
        <v>1391</v>
      </c>
      <c r="L1016" s="30">
        <v>44911</v>
      </c>
      <c r="M1016">
        <v>23580</v>
      </c>
    </row>
    <row r="1017" spans="2:13" x14ac:dyDescent="0.55000000000000004">
      <c r="B1017" s="30">
        <v>44153</v>
      </c>
      <c r="C1017">
        <v>1402</v>
      </c>
      <c r="L1017" s="30">
        <v>44910</v>
      </c>
      <c r="M1017">
        <v>23500</v>
      </c>
    </row>
    <row r="1018" spans="2:13" x14ac:dyDescent="0.55000000000000004">
      <c r="B1018" s="30">
        <v>44152</v>
      </c>
      <c r="C1018">
        <v>1416</v>
      </c>
      <c r="L1018" s="30">
        <v>44909</v>
      </c>
      <c r="M1018">
        <v>23520</v>
      </c>
    </row>
    <row r="1019" spans="2:13" x14ac:dyDescent="0.55000000000000004">
      <c r="B1019" s="30">
        <v>44151</v>
      </c>
      <c r="C1019">
        <v>1440</v>
      </c>
      <c r="L1019" s="30">
        <v>44908</v>
      </c>
      <c r="M1019">
        <v>23600</v>
      </c>
    </row>
    <row r="1020" spans="2:13" x14ac:dyDescent="0.55000000000000004">
      <c r="B1020" s="30">
        <v>44148</v>
      </c>
      <c r="C1020">
        <v>1410</v>
      </c>
      <c r="L1020" s="30">
        <v>44907</v>
      </c>
      <c r="M1020">
        <v>23680</v>
      </c>
    </row>
    <row r="1021" spans="2:13" x14ac:dyDescent="0.55000000000000004">
      <c r="B1021" s="30">
        <v>44147</v>
      </c>
      <c r="C1021">
        <v>1413</v>
      </c>
      <c r="L1021" s="30">
        <v>44904</v>
      </c>
      <c r="M1021">
        <v>23550</v>
      </c>
    </row>
    <row r="1022" spans="2:13" x14ac:dyDescent="0.55000000000000004">
      <c r="B1022" s="30">
        <v>44146</v>
      </c>
      <c r="C1022">
        <v>1393</v>
      </c>
      <c r="L1022" s="30">
        <v>44903</v>
      </c>
      <c r="M1022">
        <v>23780</v>
      </c>
    </row>
    <row r="1023" spans="2:13" x14ac:dyDescent="0.55000000000000004">
      <c r="B1023" s="30">
        <v>44145</v>
      </c>
      <c r="C1023">
        <v>1366</v>
      </c>
      <c r="L1023" s="30">
        <v>44902</v>
      </c>
      <c r="M1023">
        <v>23900</v>
      </c>
    </row>
    <row r="1024" spans="2:13" x14ac:dyDescent="0.55000000000000004">
      <c r="B1024" s="30">
        <v>44144</v>
      </c>
      <c r="C1024">
        <v>1347</v>
      </c>
      <c r="L1024" s="30">
        <v>44901</v>
      </c>
      <c r="M1024">
        <v>23980</v>
      </c>
    </row>
    <row r="1025" spans="2:13" x14ac:dyDescent="0.55000000000000004">
      <c r="B1025" s="30">
        <v>44141</v>
      </c>
      <c r="C1025">
        <v>1350</v>
      </c>
      <c r="L1025" s="30">
        <v>44900</v>
      </c>
      <c r="M1025">
        <v>23980</v>
      </c>
    </row>
    <row r="1026" spans="2:13" x14ac:dyDescent="0.55000000000000004">
      <c r="B1026" s="30">
        <v>44140</v>
      </c>
      <c r="C1026">
        <v>1339</v>
      </c>
      <c r="L1026" s="30">
        <v>44897</v>
      </c>
      <c r="M1026">
        <v>24350</v>
      </c>
    </row>
    <row r="1027" spans="2:13" x14ac:dyDescent="0.55000000000000004">
      <c r="B1027" s="30">
        <v>44139</v>
      </c>
      <c r="C1027">
        <v>1313</v>
      </c>
      <c r="L1027" s="30">
        <v>44896</v>
      </c>
      <c r="M1027">
        <v>24500</v>
      </c>
    </row>
    <row r="1028" spans="2:13" x14ac:dyDescent="0.55000000000000004">
      <c r="B1028" s="30">
        <v>44138</v>
      </c>
      <c r="C1028">
        <v>1327</v>
      </c>
      <c r="L1028" s="30">
        <v>44895</v>
      </c>
      <c r="M1028">
        <v>24630</v>
      </c>
    </row>
    <row r="1029" spans="2:13" x14ac:dyDescent="0.55000000000000004">
      <c r="B1029" s="30">
        <v>44137</v>
      </c>
      <c r="C1029">
        <v>1342</v>
      </c>
      <c r="L1029" s="30">
        <v>44894</v>
      </c>
      <c r="M1029">
        <v>24750</v>
      </c>
    </row>
    <row r="1030" spans="2:13" x14ac:dyDescent="0.55000000000000004">
      <c r="B1030" s="30">
        <v>44134</v>
      </c>
      <c r="C1030">
        <v>1351</v>
      </c>
      <c r="L1030" s="30">
        <v>44893</v>
      </c>
      <c r="M1030">
        <v>24770</v>
      </c>
    </row>
    <row r="1031" spans="2:13" x14ac:dyDescent="0.55000000000000004">
      <c r="B1031" s="30">
        <v>44133</v>
      </c>
      <c r="C1031">
        <v>1337</v>
      </c>
      <c r="L1031" s="30">
        <v>44890</v>
      </c>
      <c r="M1031">
        <v>24760</v>
      </c>
    </row>
    <row r="1032" spans="2:13" x14ac:dyDescent="0.55000000000000004">
      <c r="B1032" s="30">
        <v>44132</v>
      </c>
      <c r="C1032">
        <v>1347</v>
      </c>
      <c r="L1032" s="30">
        <v>44889</v>
      </c>
      <c r="M1032">
        <v>24833</v>
      </c>
    </row>
    <row r="1033" spans="2:13" x14ac:dyDescent="0.55000000000000004">
      <c r="B1033" s="30">
        <v>44131</v>
      </c>
      <c r="C1033">
        <v>1351</v>
      </c>
      <c r="L1033" s="30">
        <v>44888</v>
      </c>
      <c r="M1033">
        <v>24844</v>
      </c>
    </row>
    <row r="1034" spans="2:13" x14ac:dyDescent="0.55000000000000004">
      <c r="B1034" s="30">
        <v>44130</v>
      </c>
      <c r="C1034">
        <v>1313</v>
      </c>
      <c r="L1034" s="30">
        <v>44887</v>
      </c>
      <c r="M1034">
        <v>24850</v>
      </c>
    </row>
    <row r="1035" spans="2:13" x14ac:dyDescent="0.55000000000000004">
      <c r="B1035" s="30">
        <v>44127</v>
      </c>
      <c r="C1035">
        <v>1305</v>
      </c>
      <c r="L1035" s="30">
        <v>44886</v>
      </c>
      <c r="M1035">
        <v>24835</v>
      </c>
    </row>
    <row r="1036" spans="2:13" x14ac:dyDescent="0.55000000000000004">
      <c r="B1036" s="30">
        <v>44126</v>
      </c>
      <c r="C1036">
        <v>1307</v>
      </c>
      <c r="L1036" s="30">
        <v>44883</v>
      </c>
      <c r="M1036">
        <v>24800</v>
      </c>
    </row>
    <row r="1037" spans="2:13" x14ac:dyDescent="0.55000000000000004">
      <c r="B1037" s="30">
        <v>44125</v>
      </c>
      <c r="C1037">
        <v>1279</v>
      </c>
      <c r="L1037" s="30">
        <v>44882</v>
      </c>
      <c r="M1037">
        <v>24805</v>
      </c>
    </row>
    <row r="1038" spans="2:13" x14ac:dyDescent="0.55000000000000004">
      <c r="B1038" s="30">
        <v>44124</v>
      </c>
      <c r="C1038">
        <v>1289</v>
      </c>
      <c r="L1038" s="30">
        <v>44881</v>
      </c>
      <c r="M1038">
        <v>24775</v>
      </c>
    </row>
    <row r="1039" spans="2:13" x14ac:dyDescent="0.55000000000000004">
      <c r="B1039" s="30">
        <v>44123</v>
      </c>
      <c r="C1039">
        <v>1305</v>
      </c>
      <c r="L1039" s="30">
        <v>44880</v>
      </c>
      <c r="M1039">
        <v>24765</v>
      </c>
    </row>
    <row r="1040" spans="2:13" x14ac:dyDescent="0.55000000000000004">
      <c r="B1040" s="30">
        <v>44120</v>
      </c>
      <c r="C1040">
        <v>1297</v>
      </c>
      <c r="L1040" s="30">
        <v>44879</v>
      </c>
      <c r="M1040">
        <v>24735</v>
      </c>
    </row>
    <row r="1041" spans="2:13" x14ac:dyDescent="0.55000000000000004">
      <c r="B1041" s="30">
        <v>44119</v>
      </c>
      <c r="C1041">
        <v>1286</v>
      </c>
      <c r="L1041" s="30">
        <v>44876</v>
      </c>
      <c r="M1041">
        <v>24805</v>
      </c>
    </row>
    <row r="1042" spans="2:13" x14ac:dyDescent="0.55000000000000004">
      <c r="B1042" s="30">
        <v>44118</v>
      </c>
      <c r="C1042">
        <v>1276</v>
      </c>
      <c r="L1042" s="30">
        <v>44875</v>
      </c>
      <c r="M1042">
        <v>24865</v>
      </c>
    </row>
    <row r="1043" spans="2:13" x14ac:dyDescent="0.55000000000000004">
      <c r="B1043" s="30">
        <v>44117</v>
      </c>
      <c r="C1043">
        <v>1250</v>
      </c>
      <c r="L1043" s="30">
        <v>44874</v>
      </c>
      <c r="M1043">
        <v>24862</v>
      </c>
    </row>
    <row r="1044" spans="2:13" x14ac:dyDescent="0.55000000000000004">
      <c r="B1044" s="30">
        <v>44116</v>
      </c>
      <c r="C1044">
        <v>1255</v>
      </c>
      <c r="L1044" s="30">
        <v>44873</v>
      </c>
      <c r="M1044">
        <v>24871</v>
      </c>
    </row>
    <row r="1045" spans="2:13" x14ac:dyDescent="0.55000000000000004">
      <c r="B1045" s="30">
        <v>44113</v>
      </c>
      <c r="C1045">
        <v>1280</v>
      </c>
      <c r="L1045" s="30">
        <v>44872</v>
      </c>
      <c r="M1045">
        <v>24870</v>
      </c>
    </row>
    <row r="1046" spans="2:13" x14ac:dyDescent="0.55000000000000004">
      <c r="B1046" s="30">
        <v>44112</v>
      </c>
      <c r="C1046">
        <v>1271</v>
      </c>
      <c r="L1046" s="30">
        <v>44869</v>
      </c>
      <c r="M1046">
        <v>24870</v>
      </c>
    </row>
    <row r="1047" spans="2:13" x14ac:dyDescent="0.55000000000000004">
      <c r="B1047" s="30">
        <v>44111</v>
      </c>
      <c r="C1047">
        <v>1266</v>
      </c>
      <c r="L1047" s="30">
        <v>44868</v>
      </c>
      <c r="M1047">
        <v>24860</v>
      </c>
    </row>
    <row r="1048" spans="2:13" x14ac:dyDescent="0.55000000000000004">
      <c r="B1048" s="30">
        <v>44110</v>
      </c>
      <c r="C1048">
        <v>1279</v>
      </c>
      <c r="L1048" s="30">
        <v>44867</v>
      </c>
      <c r="M1048">
        <v>24835</v>
      </c>
    </row>
    <row r="1049" spans="2:13" x14ac:dyDescent="0.55000000000000004">
      <c r="B1049" s="30">
        <v>44109</v>
      </c>
      <c r="C1049">
        <v>1293</v>
      </c>
      <c r="L1049" s="30">
        <v>44866</v>
      </c>
      <c r="M1049">
        <v>24850</v>
      </c>
    </row>
    <row r="1050" spans="2:13" x14ac:dyDescent="0.55000000000000004">
      <c r="B1050" s="30">
        <v>44106</v>
      </c>
      <c r="C1050">
        <v>1311</v>
      </c>
      <c r="L1050" s="30">
        <v>44865</v>
      </c>
      <c r="M1050">
        <v>24840</v>
      </c>
    </row>
    <row r="1051" spans="2:13" x14ac:dyDescent="0.55000000000000004">
      <c r="B1051" s="30">
        <v>44105</v>
      </c>
      <c r="C1051">
        <v>1315</v>
      </c>
      <c r="L1051" s="30">
        <v>44862</v>
      </c>
      <c r="M1051">
        <v>24820</v>
      </c>
    </row>
    <row r="1052" spans="2:13" x14ac:dyDescent="0.55000000000000004">
      <c r="B1052" s="30">
        <v>44104</v>
      </c>
      <c r="C1052">
        <v>1331</v>
      </c>
      <c r="L1052" s="30">
        <v>44861</v>
      </c>
      <c r="M1052">
        <v>24830</v>
      </c>
    </row>
    <row r="1053" spans="2:13" x14ac:dyDescent="0.55000000000000004">
      <c r="B1053" s="30">
        <v>44103</v>
      </c>
      <c r="C1053">
        <v>1330</v>
      </c>
      <c r="L1053" s="30">
        <v>44860</v>
      </c>
      <c r="M1053">
        <v>24830</v>
      </c>
    </row>
    <row r="1054" spans="2:13" x14ac:dyDescent="0.55000000000000004">
      <c r="B1054" s="30">
        <v>44102</v>
      </c>
      <c r="C1054">
        <v>1346</v>
      </c>
      <c r="L1054" s="30">
        <v>44859</v>
      </c>
      <c r="M1054">
        <v>24840</v>
      </c>
    </row>
    <row r="1055" spans="2:13" x14ac:dyDescent="0.55000000000000004">
      <c r="B1055" s="30">
        <v>44099</v>
      </c>
      <c r="C1055">
        <v>1376</v>
      </c>
      <c r="L1055" s="30">
        <v>44858</v>
      </c>
      <c r="M1055">
        <v>24830</v>
      </c>
    </row>
    <row r="1056" spans="2:13" x14ac:dyDescent="0.55000000000000004">
      <c r="B1056" s="30">
        <v>44098</v>
      </c>
      <c r="C1056">
        <v>1352</v>
      </c>
      <c r="L1056" s="30">
        <v>44855</v>
      </c>
      <c r="M1056">
        <v>24820</v>
      </c>
    </row>
    <row r="1057" spans="2:13" x14ac:dyDescent="0.55000000000000004">
      <c r="B1057" s="30">
        <v>44097</v>
      </c>
      <c r="C1057">
        <v>1349</v>
      </c>
      <c r="L1057" s="30">
        <v>44854</v>
      </c>
      <c r="M1057">
        <v>24530</v>
      </c>
    </row>
    <row r="1058" spans="2:13" x14ac:dyDescent="0.55000000000000004">
      <c r="B1058" s="30">
        <v>44096</v>
      </c>
      <c r="C1058">
        <v>1341</v>
      </c>
      <c r="L1058" s="30">
        <v>44853</v>
      </c>
      <c r="M1058">
        <v>24450</v>
      </c>
    </row>
    <row r="1059" spans="2:13" x14ac:dyDescent="0.55000000000000004">
      <c r="B1059" s="30">
        <v>44095</v>
      </c>
      <c r="C1059">
        <v>1347</v>
      </c>
      <c r="L1059" s="30">
        <v>44852</v>
      </c>
      <c r="M1059">
        <v>24430</v>
      </c>
    </row>
    <row r="1060" spans="2:13" x14ac:dyDescent="0.55000000000000004">
      <c r="B1060" s="30">
        <v>44092</v>
      </c>
      <c r="C1060">
        <v>1356</v>
      </c>
      <c r="L1060" s="30">
        <v>44851</v>
      </c>
      <c r="M1060">
        <v>24310</v>
      </c>
    </row>
    <row r="1061" spans="2:13" x14ac:dyDescent="0.55000000000000004">
      <c r="B1061" s="30">
        <v>44091</v>
      </c>
      <c r="C1061">
        <v>1387</v>
      </c>
      <c r="L1061" s="30">
        <v>44848</v>
      </c>
      <c r="M1061">
        <v>24110</v>
      </c>
    </row>
    <row r="1062" spans="2:13" x14ac:dyDescent="0.55000000000000004">
      <c r="B1062" s="30">
        <v>44090</v>
      </c>
      <c r="C1062">
        <v>1392</v>
      </c>
      <c r="L1062" s="30">
        <v>44847</v>
      </c>
      <c r="M1062">
        <v>24120</v>
      </c>
    </row>
    <row r="1063" spans="2:13" x14ac:dyDescent="0.55000000000000004">
      <c r="B1063" s="30">
        <v>44089</v>
      </c>
      <c r="C1063">
        <v>1391</v>
      </c>
      <c r="L1063" s="30">
        <v>44846</v>
      </c>
      <c r="M1063">
        <v>23945</v>
      </c>
    </row>
    <row r="1064" spans="2:13" x14ac:dyDescent="0.55000000000000004">
      <c r="B1064" s="30">
        <v>44088</v>
      </c>
      <c r="C1064">
        <v>1387</v>
      </c>
      <c r="L1064" s="30">
        <v>44845</v>
      </c>
      <c r="M1064">
        <v>23925</v>
      </c>
    </row>
    <row r="1065" spans="2:13" x14ac:dyDescent="0.55000000000000004">
      <c r="B1065" s="30">
        <v>44085</v>
      </c>
      <c r="C1065">
        <v>1433</v>
      </c>
      <c r="L1065" s="30">
        <v>44844</v>
      </c>
      <c r="M1065">
        <v>23870</v>
      </c>
    </row>
    <row r="1066" spans="2:13" x14ac:dyDescent="0.55000000000000004">
      <c r="B1066" s="30">
        <v>44084</v>
      </c>
      <c r="C1066">
        <v>1423</v>
      </c>
      <c r="L1066" s="30">
        <v>44841</v>
      </c>
      <c r="M1066">
        <v>23875</v>
      </c>
    </row>
    <row r="1067" spans="2:13" x14ac:dyDescent="0.55000000000000004">
      <c r="B1067" s="30">
        <v>44083</v>
      </c>
      <c r="C1067">
        <v>1416</v>
      </c>
      <c r="L1067" s="30">
        <v>44840</v>
      </c>
      <c r="M1067">
        <v>23870</v>
      </c>
    </row>
    <row r="1068" spans="2:13" x14ac:dyDescent="0.55000000000000004">
      <c r="B1068" s="30">
        <v>44082</v>
      </c>
      <c r="C1068">
        <v>1411</v>
      </c>
      <c r="L1068" s="30">
        <v>44839</v>
      </c>
      <c r="M1068">
        <v>23865</v>
      </c>
    </row>
    <row r="1069" spans="2:13" x14ac:dyDescent="0.55000000000000004">
      <c r="B1069" s="30">
        <v>44081</v>
      </c>
      <c r="C1069">
        <v>1427</v>
      </c>
      <c r="L1069" s="30">
        <v>44838</v>
      </c>
      <c r="M1069">
        <v>23875</v>
      </c>
    </row>
    <row r="1070" spans="2:13" x14ac:dyDescent="0.55000000000000004">
      <c r="B1070" s="30">
        <v>44078</v>
      </c>
      <c r="C1070">
        <v>1444</v>
      </c>
      <c r="L1070" s="30">
        <v>44837</v>
      </c>
      <c r="M1070">
        <v>23880</v>
      </c>
    </row>
    <row r="1071" spans="2:13" x14ac:dyDescent="0.55000000000000004">
      <c r="B1071" s="30">
        <v>44077</v>
      </c>
      <c r="C1071">
        <v>1436</v>
      </c>
      <c r="L1071" s="30">
        <v>44834</v>
      </c>
      <c r="M1071">
        <v>23855</v>
      </c>
    </row>
    <row r="1072" spans="2:13" x14ac:dyDescent="0.55000000000000004">
      <c r="B1072" s="30">
        <v>44076</v>
      </c>
      <c r="C1072">
        <v>1440</v>
      </c>
      <c r="L1072" s="30">
        <v>44833</v>
      </c>
      <c r="M1072">
        <v>23820</v>
      </c>
    </row>
    <row r="1073" spans="2:13" x14ac:dyDescent="0.55000000000000004">
      <c r="B1073" s="30">
        <v>44075</v>
      </c>
      <c r="C1073">
        <v>1463</v>
      </c>
      <c r="L1073" s="30">
        <v>44832</v>
      </c>
      <c r="M1073">
        <v>23730</v>
      </c>
    </row>
    <row r="1074" spans="2:13" x14ac:dyDescent="0.55000000000000004">
      <c r="B1074" s="30">
        <v>44071</v>
      </c>
      <c r="C1074">
        <v>1429</v>
      </c>
      <c r="L1074" s="30">
        <v>44831</v>
      </c>
      <c r="M1074">
        <v>23730</v>
      </c>
    </row>
    <row r="1075" spans="2:13" x14ac:dyDescent="0.55000000000000004">
      <c r="B1075" s="30">
        <v>44070</v>
      </c>
      <c r="C1075">
        <v>1405</v>
      </c>
      <c r="L1075" s="30">
        <v>44830</v>
      </c>
      <c r="M1075">
        <v>23715</v>
      </c>
    </row>
    <row r="1076" spans="2:13" x14ac:dyDescent="0.55000000000000004">
      <c r="B1076" s="30">
        <v>44069</v>
      </c>
      <c r="C1076">
        <v>1427</v>
      </c>
      <c r="L1076" s="30">
        <v>44827</v>
      </c>
      <c r="M1076">
        <v>23700</v>
      </c>
    </row>
    <row r="1077" spans="2:13" x14ac:dyDescent="0.55000000000000004">
      <c r="B1077" s="30">
        <v>44068</v>
      </c>
      <c r="C1077">
        <v>1421</v>
      </c>
      <c r="L1077" s="30">
        <v>44826</v>
      </c>
      <c r="M1077">
        <v>23700</v>
      </c>
    </row>
    <row r="1078" spans="2:13" x14ac:dyDescent="0.55000000000000004">
      <c r="B1078" s="30">
        <v>44067</v>
      </c>
      <c r="C1078">
        <v>1404</v>
      </c>
      <c r="L1078" s="30">
        <v>44825</v>
      </c>
      <c r="M1078">
        <v>23690</v>
      </c>
    </row>
    <row r="1079" spans="2:13" x14ac:dyDescent="0.55000000000000004">
      <c r="B1079" s="30">
        <v>44064</v>
      </c>
      <c r="C1079">
        <v>1406</v>
      </c>
      <c r="L1079" s="30">
        <v>44824</v>
      </c>
      <c r="M1079">
        <v>23670</v>
      </c>
    </row>
    <row r="1080" spans="2:13" x14ac:dyDescent="0.55000000000000004">
      <c r="B1080" s="30">
        <v>44063</v>
      </c>
      <c r="C1080">
        <v>1385</v>
      </c>
      <c r="L1080" s="30">
        <v>44823</v>
      </c>
      <c r="M1080">
        <v>23670</v>
      </c>
    </row>
    <row r="1081" spans="2:13" x14ac:dyDescent="0.55000000000000004">
      <c r="B1081" s="30">
        <v>44062</v>
      </c>
      <c r="C1081">
        <v>1384</v>
      </c>
      <c r="L1081" s="30">
        <v>44820</v>
      </c>
      <c r="M1081">
        <v>23650</v>
      </c>
    </row>
    <row r="1082" spans="2:13" x14ac:dyDescent="0.55000000000000004">
      <c r="B1082" s="30">
        <v>44061</v>
      </c>
      <c r="C1082">
        <v>1396</v>
      </c>
      <c r="L1082" s="30">
        <v>44819</v>
      </c>
      <c r="M1082">
        <v>23620</v>
      </c>
    </row>
    <row r="1083" spans="2:13" x14ac:dyDescent="0.55000000000000004">
      <c r="B1083" s="30">
        <v>44060</v>
      </c>
      <c r="C1083">
        <v>1378</v>
      </c>
      <c r="L1083" s="30">
        <v>44818</v>
      </c>
      <c r="M1083">
        <v>23590</v>
      </c>
    </row>
    <row r="1084" spans="2:13" x14ac:dyDescent="0.55000000000000004">
      <c r="B1084" s="30">
        <v>44057</v>
      </c>
      <c r="C1084">
        <v>1384</v>
      </c>
      <c r="L1084" s="30">
        <v>44817</v>
      </c>
      <c r="M1084">
        <v>23553</v>
      </c>
    </row>
    <row r="1085" spans="2:13" x14ac:dyDescent="0.55000000000000004">
      <c r="B1085" s="30">
        <v>44056</v>
      </c>
      <c r="C1085">
        <v>1382</v>
      </c>
      <c r="L1085" s="30">
        <v>44816</v>
      </c>
      <c r="M1085">
        <v>23520</v>
      </c>
    </row>
    <row r="1086" spans="2:13" x14ac:dyDescent="0.55000000000000004">
      <c r="B1086" s="30">
        <v>44055</v>
      </c>
      <c r="C1086">
        <v>1342</v>
      </c>
      <c r="L1086" s="30">
        <v>44813</v>
      </c>
      <c r="M1086">
        <v>23515</v>
      </c>
    </row>
    <row r="1087" spans="2:13" x14ac:dyDescent="0.55000000000000004">
      <c r="B1087" s="30">
        <v>44054</v>
      </c>
      <c r="C1087">
        <v>1337</v>
      </c>
      <c r="L1087" s="30">
        <v>44812</v>
      </c>
      <c r="M1087">
        <v>23542</v>
      </c>
    </row>
    <row r="1088" spans="2:13" x14ac:dyDescent="0.55000000000000004">
      <c r="B1088" s="30">
        <v>44053</v>
      </c>
      <c r="C1088">
        <v>1357</v>
      </c>
      <c r="L1088" s="30">
        <v>44811</v>
      </c>
      <c r="M1088">
        <v>23580</v>
      </c>
    </row>
    <row r="1089" spans="2:13" x14ac:dyDescent="0.55000000000000004">
      <c r="B1089" s="30">
        <v>44050</v>
      </c>
      <c r="C1089">
        <v>1363</v>
      </c>
      <c r="L1089" s="30">
        <v>44810</v>
      </c>
      <c r="M1089">
        <v>23520</v>
      </c>
    </row>
    <row r="1090" spans="2:13" x14ac:dyDescent="0.55000000000000004">
      <c r="B1090" s="30">
        <v>44049</v>
      </c>
      <c r="C1090">
        <v>1353</v>
      </c>
      <c r="L1090" s="30">
        <v>44809</v>
      </c>
      <c r="M1090">
        <v>23505</v>
      </c>
    </row>
    <row r="1091" spans="2:13" x14ac:dyDescent="0.55000000000000004">
      <c r="B1091" s="30">
        <v>44048</v>
      </c>
      <c r="C1091">
        <v>1362</v>
      </c>
      <c r="L1091" s="30">
        <v>44806</v>
      </c>
      <c r="M1091">
        <v>23450</v>
      </c>
    </row>
    <row r="1092" spans="2:13" x14ac:dyDescent="0.55000000000000004">
      <c r="B1092" s="30">
        <v>44047</v>
      </c>
      <c r="C1092">
        <v>1386</v>
      </c>
      <c r="L1092" s="30">
        <v>44805</v>
      </c>
      <c r="M1092">
        <v>23450</v>
      </c>
    </row>
    <row r="1093" spans="2:13" x14ac:dyDescent="0.55000000000000004">
      <c r="B1093" s="30">
        <v>44046</v>
      </c>
      <c r="C1093">
        <v>1350</v>
      </c>
      <c r="L1093" s="30">
        <v>44804</v>
      </c>
      <c r="M1093">
        <v>23450</v>
      </c>
    </row>
    <row r="1094" spans="2:13" x14ac:dyDescent="0.55000000000000004">
      <c r="B1094" s="30">
        <v>44043</v>
      </c>
      <c r="C1094">
        <v>1361</v>
      </c>
      <c r="L1094" s="30">
        <v>44803</v>
      </c>
      <c r="M1094">
        <v>23415</v>
      </c>
    </row>
    <row r="1095" spans="2:13" x14ac:dyDescent="0.55000000000000004">
      <c r="B1095" s="30">
        <v>44042</v>
      </c>
      <c r="C1095">
        <v>1356</v>
      </c>
      <c r="L1095" s="30">
        <v>44802</v>
      </c>
      <c r="M1095">
        <v>23430</v>
      </c>
    </row>
    <row r="1096" spans="2:13" x14ac:dyDescent="0.55000000000000004">
      <c r="B1096" s="30">
        <v>44041</v>
      </c>
      <c r="C1096">
        <v>1358</v>
      </c>
      <c r="L1096" s="30">
        <v>44799</v>
      </c>
      <c r="M1096">
        <v>23412</v>
      </c>
    </row>
    <row r="1097" spans="2:13" x14ac:dyDescent="0.55000000000000004">
      <c r="B1097" s="30">
        <v>44040</v>
      </c>
      <c r="C1097">
        <v>1350</v>
      </c>
      <c r="L1097" s="30">
        <v>44798</v>
      </c>
      <c r="M1097">
        <v>23423</v>
      </c>
    </row>
    <row r="1098" spans="2:13" x14ac:dyDescent="0.55000000000000004">
      <c r="B1098" s="30">
        <v>44039</v>
      </c>
      <c r="C1098">
        <v>1346</v>
      </c>
      <c r="L1098" s="30">
        <v>44797</v>
      </c>
      <c r="M1098">
        <v>23425</v>
      </c>
    </row>
    <row r="1099" spans="2:13" x14ac:dyDescent="0.55000000000000004">
      <c r="B1099" s="30">
        <v>44036</v>
      </c>
      <c r="C1099">
        <v>1358</v>
      </c>
      <c r="L1099" s="30">
        <v>44796</v>
      </c>
      <c r="M1099">
        <v>23430</v>
      </c>
    </row>
    <row r="1100" spans="2:13" x14ac:dyDescent="0.55000000000000004">
      <c r="B1100" s="30">
        <v>44035</v>
      </c>
      <c r="C1100">
        <v>1350</v>
      </c>
      <c r="L1100" s="30">
        <v>44795</v>
      </c>
      <c r="M1100">
        <v>23410</v>
      </c>
    </row>
    <row r="1101" spans="2:13" x14ac:dyDescent="0.55000000000000004">
      <c r="B1101" s="30">
        <v>44034</v>
      </c>
      <c r="C1101">
        <v>1357</v>
      </c>
      <c r="L1101" s="30">
        <v>44792</v>
      </c>
      <c r="M1101">
        <v>23400</v>
      </c>
    </row>
    <row r="1102" spans="2:13" x14ac:dyDescent="0.55000000000000004">
      <c r="B1102" s="30">
        <v>44033</v>
      </c>
      <c r="C1102">
        <v>1317</v>
      </c>
      <c r="L1102" s="30">
        <v>44791</v>
      </c>
      <c r="M1102">
        <v>23401</v>
      </c>
    </row>
    <row r="1103" spans="2:13" x14ac:dyDescent="0.55000000000000004">
      <c r="B1103" s="30">
        <v>44032</v>
      </c>
      <c r="C1103">
        <v>1278</v>
      </c>
      <c r="L1103" s="30">
        <v>44790</v>
      </c>
      <c r="M1103">
        <v>23401</v>
      </c>
    </row>
    <row r="1104" spans="2:13" x14ac:dyDescent="0.55000000000000004">
      <c r="B1104" s="30">
        <v>44029</v>
      </c>
      <c r="C1104">
        <v>1293</v>
      </c>
      <c r="L1104" s="30">
        <v>44789</v>
      </c>
      <c r="M1104">
        <v>23403</v>
      </c>
    </row>
    <row r="1105" spans="2:13" x14ac:dyDescent="0.55000000000000004">
      <c r="B1105" s="30">
        <v>44028</v>
      </c>
      <c r="C1105">
        <v>1243</v>
      </c>
      <c r="L1105" s="30">
        <v>44788</v>
      </c>
      <c r="M1105">
        <v>23400</v>
      </c>
    </row>
    <row r="1106" spans="2:13" x14ac:dyDescent="0.55000000000000004">
      <c r="B1106" s="30">
        <v>44027</v>
      </c>
      <c r="C1106">
        <v>1226</v>
      </c>
      <c r="L1106" s="30">
        <v>44785</v>
      </c>
      <c r="M1106">
        <v>23392</v>
      </c>
    </row>
    <row r="1107" spans="2:13" x14ac:dyDescent="0.55000000000000004">
      <c r="B1107" s="30">
        <v>44026</v>
      </c>
      <c r="C1107">
        <v>1215</v>
      </c>
      <c r="L1107" s="30">
        <v>44784</v>
      </c>
      <c r="M1107">
        <v>23390</v>
      </c>
    </row>
    <row r="1108" spans="2:13" x14ac:dyDescent="0.55000000000000004">
      <c r="B1108" s="30">
        <v>44025</v>
      </c>
      <c r="C1108">
        <v>1224</v>
      </c>
      <c r="L1108" s="30">
        <v>44783</v>
      </c>
      <c r="M1108">
        <v>23385</v>
      </c>
    </row>
    <row r="1109" spans="2:13" x14ac:dyDescent="0.55000000000000004">
      <c r="B1109" s="30">
        <v>44022</v>
      </c>
      <c r="C1109">
        <v>1197</v>
      </c>
      <c r="L1109" s="30">
        <v>44782</v>
      </c>
      <c r="M1109">
        <v>23385</v>
      </c>
    </row>
    <row r="1110" spans="2:13" x14ac:dyDescent="0.55000000000000004">
      <c r="B1110" s="30">
        <v>44021</v>
      </c>
      <c r="C1110">
        <v>1197</v>
      </c>
      <c r="L1110" s="30">
        <v>44781</v>
      </c>
      <c r="M1110">
        <v>23388</v>
      </c>
    </row>
    <row r="1111" spans="2:13" x14ac:dyDescent="0.55000000000000004">
      <c r="B1111" s="30">
        <v>44020</v>
      </c>
      <c r="C1111">
        <v>1192</v>
      </c>
      <c r="L1111" s="30">
        <v>44778</v>
      </c>
      <c r="M1111">
        <v>23385</v>
      </c>
    </row>
    <row r="1112" spans="2:13" x14ac:dyDescent="0.55000000000000004">
      <c r="B1112" s="30">
        <v>44019</v>
      </c>
      <c r="C1112">
        <v>1191</v>
      </c>
      <c r="L1112" s="30">
        <v>44777</v>
      </c>
      <c r="M1112">
        <v>23393</v>
      </c>
    </row>
    <row r="1113" spans="2:13" x14ac:dyDescent="0.55000000000000004">
      <c r="B1113" s="30">
        <v>44018</v>
      </c>
      <c r="C1113">
        <v>1175</v>
      </c>
      <c r="L1113" s="30">
        <v>44776</v>
      </c>
      <c r="M1113">
        <v>23394</v>
      </c>
    </row>
    <row r="1114" spans="2:13" x14ac:dyDescent="0.55000000000000004">
      <c r="B1114" s="30">
        <v>44015</v>
      </c>
      <c r="C1114">
        <v>1199</v>
      </c>
      <c r="L1114" s="30">
        <v>44775</v>
      </c>
      <c r="M1114">
        <v>23353</v>
      </c>
    </row>
    <row r="1115" spans="2:13" x14ac:dyDescent="0.55000000000000004">
      <c r="B1115" s="30">
        <v>44014</v>
      </c>
      <c r="C1115">
        <v>1202</v>
      </c>
      <c r="L1115" s="30">
        <v>44774</v>
      </c>
      <c r="M1115">
        <v>23355</v>
      </c>
    </row>
    <row r="1116" spans="2:13" x14ac:dyDescent="0.55000000000000004">
      <c r="B1116" s="30">
        <v>44013</v>
      </c>
      <c r="C1116">
        <v>1204</v>
      </c>
      <c r="L1116" s="30">
        <v>44771</v>
      </c>
      <c r="M1116">
        <v>23335</v>
      </c>
    </row>
    <row r="1117" spans="2:13" x14ac:dyDescent="0.55000000000000004">
      <c r="B1117" s="30">
        <v>44012</v>
      </c>
      <c r="C1117">
        <v>1187</v>
      </c>
      <c r="L1117" s="30">
        <v>44770</v>
      </c>
      <c r="M1117">
        <v>23358</v>
      </c>
    </row>
    <row r="1118" spans="2:13" x14ac:dyDescent="0.55000000000000004">
      <c r="B1118" s="30">
        <v>44011</v>
      </c>
      <c r="C1118">
        <v>1178</v>
      </c>
      <c r="L1118" s="30">
        <v>44769</v>
      </c>
      <c r="M1118">
        <v>23375</v>
      </c>
    </row>
    <row r="1119" spans="2:13" x14ac:dyDescent="0.55000000000000004">
      <c r="B1119" s="30">
        <v>44008</v>
      </c>
      <c r="C1119">
        <v>1153</v>
      </c>
      <c r="L1119" s="30">
        <v>44768</v>
      </c>
      <c r="M1119">
        <v>23370</v>
      </c>
    </row>
    <row r="1120" spans="2:13" x14ac:dyDescent="0.55000000000000004">
      <c r="B1120" s="30">
        <v>44007</v>
      </c>
      <c r="C1120">
        <v>1154</v>
      </c>
      <c r="L1120" s="30">
        <v>44767</v>
      </c>
      <c r="M1120">
        <v>23385</v>
      </c>
    </row>
    <row r="1121" spans="2:13" x14ac:dyDescent="0.55000000000000004">
      <c r="B1121" s="30">
        <v>44006</v>
      </c>
      <c r="C1121">
        <v>1176</v>
      </c>
      <c r="L1121" s="30">
        <v>44764</v>
      </c>
      <c r="M1121">
        <v>23400</v>
      </c>
    </row>
    <row r="1122" spans="2:13" x14ac:dyDescent="0.55000000000000004">
      <c r="B1122" s="30">
        <v>44005</v>
      </c>
      <c r="C1122">
        <v>1185</v>
      </c>
      <c r="L1122" s="30">
        <v>44763</v>
      </c>
      <c r="M1122">
        <v>23410</v>
      </c>
    </row>
    <row r="1123" spans="2:13" x14ac:dyDescent="0.55000000000000004">
      <c r="B1123" s="30">
        <v>44004</v>
      </c>
      <c r="C1123">
        <v>1188</v>
      </c>
      <c r="L1123" s="30">
        <v>44762</v>
      </c>
      <c r="M1123">
        <v>23410</v>
      </c>
    </row>
    <row r="1124" spans="2:13" x14ac:dyDescent="0.55000000000000004">
      <c r="B1124" s="30">
        <v>44001</v>
      </c>
      <c r="C1124">
        <v>1175</v>
      </c>
      <c r="L1124" s="30">
        <v>44761</v>
      </c>
      <c r="M1124">
        <v>23412</v>
      </c>
    </row>
    <row r="1125" spans="2:13" x14ac:dyDescent="0.55000000000000004">
      <c r="B1125" s="30">
        <v>44000</v>
      </c>
      <c r="C1125">
        <v>1164</v>
      </c>
      <c r="L1125" s="30">
        <v>44760</v>
      </c>
      <c r="M1125">
        <v>23440</v>
      </c>
    </row>
    <row r="1126" spans="2:13" x14ac:dyDescent="0.55000000000000004">
      <c r="B1126" s="30">
        <v>43999</v>
      </c>
      <c r="C1126">
        <v>1182</v>
      </c>
      <c r="L1126" s="30">
        <v>44757</v>
      </c>
      <c r="M1126">
        <v>23450</v>
      </c>
    </row>
    <row r="1127" spans="2:13" x14ac:dyDescent="0.55000000000000004">
      <c r="B1127" s="30">
        <v>43998</v>
      </c>
      <c r="C1127">
        <v>1177</v>
      </c>
      <c r="L1127" s="30">
        <v>44756</v>
      </c>
      <c r="M1127">
        <v>23415</v>
      </c>
    </row>
    <row r="1128" spans="2:13" x14ac:dyDescent="0.55000000000000004">
      <c r="B1128" s="30">
        <v>43997</v>
      </c>
      <c r="C1128">
        <v>1194</v>
      </c>
      <c r="L1128" s="30">
        <v>44755</v>
      </c>
      <c r="M1128">
        <v>23388</v>
      </c>
    </row>
    <row r="1129" spans="2:13" x14ac:dyDescent="0.55000000000000004">
      <c r="B1129" s="30">
        <v>43994</v>
      </c>
      <c r="C1129">
        <v>1212</v>
      </c>
      <c r="L1129" s="30">
        <v>44754</v>
      </c>
      <c r="M1129">
        <v>23389</v>
      </c>
    </row>
    <row r="1130" spans="2:13" x14ac:dyDescent="0.55000000000000004">
      <c r="B1130" s="30">
        <v>43993</v>
      </c>
      <c r="C1130">
        <v>1227</v>
      </c>
      <c r="L1130" s="30">
        <v>44753</v>
      </c>
      <c r="M1130">
        <v>23347</v>
      </c>
    </row>
    <row r="1131" spans="2:13" x14ac:dyDescent="0.55000000000000004">
      <c r="B1131" s="30">
        <v>43992</v>
      </c>
      <c r="C1131">
        <v>1253</v>
      </c>
      <c r="L1131" s="30">
        <v>44750</v>
      </c>
      <c r="M1131">
        <v>23355</v>
      </c>
    </row>
    <row r="1132" spans="2:13" x14ac:dyDescent="0.55000000000000004">
      <c r="B1132" s="30">
        <v>43991</v>
      </c>
      <c r="C1132">
        <v>1247</v>
      </c>
      <c r="L1132" s="30">
        <v>44749</v>
      </c>
      <c r="M1132">
        <v>23350</v>
      </c>
    </row>
    <row r="1133" spans="2:13" x14ac:dyDescent="0.55000000000000004">
      <c r="B1133" s="30">
        <v>43990</v>
      </c>
      <c r="C1133">
        <v>1263</v>
      </c>
      <c r="L1133" s="30">
        <v>44748</v>
      </c>
      <c r="M1133">
        <v>23373</v>
      </c>
    </row>
    <row r="1134" spans="2:13" x14ac:dyDescent="0.55000000000000004">
      <c r="B1134" s="30">
        <v>43987</v>
      </c>
      <c r="C1134">
        <v>1245</v>
      </c>
      <c r="L1134" s="30">
        <v>44747</v>
      </c>
      <c r="M1134">
        <v>23360</v>
      </c>
    </row>
    <row r="1135" spans="2:13" x14ac:dyDescent="0.55000000000000004">
      <c r="B1135" s="30">
        <v>43986</v>
      </c>
      <c r="C1135">
        <v>1210</v>
      </c>
      <c r="L1135" s="30">
        <v>44746</v>
      </c>
      <c r="M1135">
        <v>23335</v>
      </c>
    </row>
    <row r="1136" spans="2:13" x14ac:dyDescent="0.55000000000000004">
      <c r="B1136" s="30">
        <v>43985</v>
      </c>
      <c r="C1136">
        <v>1218</v>
      </c>
      <c r="L1136" s="30">
        <v>44743</v>
      </c>
      <c r="M1136">
        <v>23300</v>
      </c>
    </row>
    <row r="1137" spans="2:13" x14ac:dyDescent="0.55000000000000004">
      <c r="B1137" s="30">
        <v>43984</v>
      </c>
      <c r="C1137">
        <v>1198</v>
      </c>
      <c r="L1137" s="30">
        <v>44742</v>
      </c>
      <c r="M1137">
        <v>23255</v>
      </c>
    </row>
    <row r="1138" spans="2:13" x14ac:dyDescent="0.55000000000000004">
      <c r="B1138" s="30">
        <v>43983</v>
      </c>
      <c r="C1138">
        <v>1178</v>
      </c>
      <c r="L1138" s="30">
        <v>44741</v>
      </c>
      <c r="M1138">
        <v>23265</v>
      </c>
    </row>
    <row r="1139" spans="2:13" x14ac:dyDescent="0.55000000000000004">
      <c r="B1139" s="30">
        <v>43980</v>
      </c>
      <c r="C1139">
        <v>1189</v>
      </c>
      <c r="L1139" s="30">
        <v>44740</v>
      </c>
      <c r="M1139">
        <v>23255</v>
      </c>
    </row>
    <row r="1140" spans="2:13" x14ac:dyDescent="0.55000000000000004">
      <c r="B1140" s="30">
        <v>43979</v>
      </c>
      <c r="C1140">
        <v>1199</v>
      </c>
      <c r="L1140" s="30">
        <v>44739</v>
      </c>
      <c r="M1140">
        <v>23245</v>
      </c>
    </row>
    <row r="1141" spans="2:13" x14ac:dyDescent="0.55000000000000004">
      <c r="B1141" s="30">
        <v>43978</v>
      </c>
      <c r="C1141">
        <v>1232</v>
      </c>
      <c r="L1141" s="30">
        <v>44736</v>
      </c>
      <c r="M1141">
        <v>23247</v>
      </c>
    </row>
    <row r="1142" spans="2:13" x14ac:dyDescent="0.55000000000000004">
      <c r="B1142" s="30">
        <v>43977</v>
      </c>
      <c r="C1142">
        <v>1242</v>
      </c>
      <c r="L1142" s="30">
        <v>44735</v>
      </c>
      <c r="M1142">
        <v>23244</v>
      </c>
    </row>
    <row r="1143" spans="2:13" x14ac:dyDescent="0.55000000000000004">
      <c r="B1143" s="30">
        <v>43973</v>
      </c>
      <c r="C1143">
        <v>1207</v>
      </c>
      <c r="L1143" s="30">
        <v>44734</v>
      </c>
      <c r="M1143">
        <v>23235</v>
      </c>
    </row>
    <row r="1144" spans="2:13" x14ac:dyDescent="0.55000000000000004">
      <c r="B1144" s="30">
        <v>43972</v>
      </c>
      <c r="C1144">
        <v>1189</v>
      </c>
      <c r="L1144" s="30">
        <v>44733</v>
      </c>
      <c r="M1144">
        <v>23226</v>
      </c>
    </row>
    <row r="1145" spans="2:13" x14ac:dyDescent="0.55000000000000004">
      <c r="B1145" s="30">
        <v>43971</v>
      </c>
      <c r="C1145">
        <v>1186</v>
      </c>
      <c r="L1145" s="30">
        <v>44732</v>
      </c>
      <c r="M1145">
        <v>23230</v>
      </c>
    </row>
    <row r="1146" spans="2:13" x14ac:dyDescent="0.55000000000000004">
      <c r="B1146" s="30">
        <v>43970</v>
      </c>
      <c r="C1146">
        <v>1184</v>
      </c>
      <c r="L1146" s="30">
        <v>44729</v>
      </c>
      <c r="M1146">
        <v>23220</v>
      </c>
    </row>
    <row r="1147" spans="2:13" x14ac:dyDescent="0.55000000000000004">
      <c r="B1147" s="30">
        <v>43969</v>
      </c>
      <c r="C1147">
        <v>1182</v>
      </c>
      <c r="L1147" s="30">
        <v>44728</v>
      </c>
      <c r="M1147">
        <v>23232</v>
      </c>
    </row>
    <row r="1148" spans="2:13" x14ac:dyDescent="0.55000000000000004">
      <c r="B1148" s="30">
        <v>43966</v>
      </c>
      <c r="C1148">
        <v>1178</v>
      </c>
      <c r="L1148" s="30">
        <v>44727</v>
      </c>
      <c r="M1148">
        <v>23230</v>
      </c>
    </row>
    <row r="1149" spans="2:13" x14ac:dyDescent="0.55000000000000004">
      <c r="B1149" s="30">
        <v>43965</v>
      </c>
      <c r="C1149">
        <v>1168</v>
      </c>
      <c r="L1149" s="30">
        <v>44726</v>
      </c>
      <c r="M1149">
        <v>23210</v>
      </c>
    </row>
    <row r="1150" spans="2:13" x14ac:dyDescent="0.55000000000000004">
      <c r="B1150" s="30">
        <v>43964</v>
      </c>
      <c r="C1150">
        <v>1147</v>
      </c>
      <c r="L1150" s="30">
        <v>44725</v>
      </c>
      <c r="M1150">
        <v>23195</v>
      </c>
    </row>
    <row r="1151" spans="2:13" x14ac:dyDescent="0.55000000000000004">
      <c r="B1151" s="30">
        <v>43963</v>
      </c>
      <c r="C1151">
        <v>1180</v>
      </c>
      <c r="L1151" s="30">
        <v>44722</v>
      </c>
      <c r="M1151">
        <v>23177</v>
      </c>
    </row>
    <row r="1152" spans="2:13" x14ac:dyDescent="0.55000000000000004">
      <c r="B1152" s="30">
        <v>43962</v>
      </c>
      <c r="C1152">
        <v>1198</v>
      </c>
      <c r="L1152" s="30">
        <v>44721</v>
      </c>
      <c r="M1152">
        <v>23155</v>
      </c>
    </row>
    <row r="1153" spans="2:13" x14ac:dyDescent="0.55000000000000004">
      <c r="B1153" s="30">
        <v>43958</v>
      </c>
      <c r="C1153">
        <v>1186</v>
      </c>
      <c r="L1153" s="30">
        <v>44720</v>
      </c>
      <c r="M1153">
        <v>23187</v>
      </c>
    </row>
    <row r="1154" spans="2:13" x14ac:dyDescent="0.55000000000000004">
      <c r="B1154" s="30">
        <v>43957</v>
      </c>
      <c r="C1154">
        <v>1201</v>
      </c>
      <c r="L1154" s="30">
        <v>44719</v>
      </c>
      <c r="M1154">
        <v>23185</v>
      </c>
    </row>
    <row r="1155" spans="2:13" x14ac:dyDescent="0.55000000000000004">
      <c r="B1155" s="30">
        <v>43956</v>
      </c>
      <c r="C1155">
        <v>1200</v>
      </c>
      <c r="L1155" s="30">
        <v>44718</v>
      </c>
      <c r="M1155">
        <v>23180</v>
      </c>
    </row>
    <row r="1156" spans="2:13" x14ac:dyDescent="0.55000000000000004">
      <c r="B1156" s="30">
        <v>43955</v>
      </c>
      <c r="C1156">
        <v>1197</v>
      </c>
      <c r="L1156" s="30">
        <v>44715</v>
      </c>
      <c r="M1156">
        <v>23187</v>
      </c>
    </row>
    <row r="1157" spans="2:13" x14ac:dyDescent="0.55000000000000004">
      <c r="B1157" s="30">
        <v>43952</v>
      </c>
      <c r="C1157">
        <v>1205</v>
      </c>
      <c r="L1157" s="30">
        <v>44714</v>
      </c>
      <c r="M1157">
        <v>23193</v>
      </c>
    </row>
    <row r="1158" spans="2:13" x14ac:dyDescent="0.55000000000000004">
      <c r="B1158" s="30">
        <v>43951</v>
      </c>
      <c r="C1158">
        <v>1194</v>
      </c>
      <c r="L1158" s="30">
        <v>44713</v>
      </c>
      <c r="M1158">
        <v>23196</v>
      </c>
    </row>
    <row r="1159" spans="2:13" x14ac:dyDescent="0.55000000000000004">
      <c r="B1159" s="30">
        <v>43950</v>
      </c>
      <c r="C1159">
        <v>1186</v>
      </c>
      <c r="L1159" s="30">
        <v>44712</v>
      </c>
      <c r="M1159">
        <v>23185</v>
      </c>
    </row>
    <row r="1160" spans="2:13" x14ac:dyDescent="0.55000000000000004">
      <c r="B1160" s="30">
        <v>43949</v>
      </c>
      <c r="C1160">
        <v>1180</v>
      </c>
      <c r="L1160" s="30">
        <v>44711</v>
      </c>
      <c r="M1160">
        <v>23176</v>
      </c>
    </row>
    <row r="1161" spans="2:13" x14ac:dyDescent="0.55000000000000004">
      <c r="B1161" s="30">
        <v>43948</v>
      </c>
      <c r="C1161">
        <v>1150</v>
      </c>
      <c r="L1161" s="30">
        <v>44708</v>
      </c>
      <c r="M1161">
        <v>23195</v>
      </c>
    </row>
    <row r="1162" spans="2:13" x14ac:dyDescent="0.55000000000000004">
      <c r="B1162" s="30">
        <v>43945</v>
      </c>
      <c r="C1162">
        <v>1144</v>
      </c>
      <c r="L1162" s="30">
        <v>44707</v>
      </c>
      <c r="M1162">
        <v>23205</v>
      </c>
    </row>
    <row r="1163" spans="2:13" x14ac:dyDescent="0.55000000000000004">
      <c r="B1163" s="30">
        <v>43944</v>
      </c>
      <c r="C1163">
        <v>1150</v>
      </c>
      <c r="L1163" s="30">
        <v>44706</v>
      </c>
      <c r="M1163">
        <v>23190</v>
      </c>
    </row>
    <row r="1164" spans="2:13" x14ac:dyDescent="0.55000000000000004">
      <c r="B1164" s="30">
        <v>43943</v>
      </c>
      <c r="C1164">
        <v>1121</v>
      </c>
      <c r="L1164" s="30">
        <v>44705</v>
      </c>
      <c r="M1164">
        <v>23210</v>
      </c>
    </row>
    <row r="1165" spans="2:13" x14ac:dyDescent="0.55000000000000004">
      <c r="B1165" s="30">
        <v>43942</v>
      </c>
      <c r="C1165">
        <v>1139</v>
      </c>
      <c r="L1165" s="30">
        <v>44704</v>
      </c>
      <c r="M1165">
        <v>23170</v>
      </c>
    </row>
    <row r="1166" spans="2:13" x14ac:dyDescent="0.55000000000000004">
      <c r="B1166" s="30">
        <v>43941</v>
      </c>
      <c r="C1166">
        <v>1177</v>
      </c>
      <c r="L1166" s="30">
        <v>44701</v>
      </c>
      <c r="M1166">
        <v>23160</v>
      </c>
    </row>
    <row r="1167" spans="2:13" x14ac:dyDescent="0.55000000000000004">
      <c r="B1167" s="30">
        <v>43938</v>
      </c>
      <c r="C1167">
        <v>1188</v>
      </c>
      <c r="L1167" s="30">
        <v>44700</v>
      </c>
      <c r="M1167">
        <v>23140</v>
      </c>
    </row>
    <row r="1168" spans="2:13" x14ac:dyDescent="0.55000000000000004">
      <c r="B1168" s="30">
        <v>43937</v>
      </c>
      <c r="C1168">
        <v>1205</v>
      </c>
      <c r="L1168" s="30">
        <v>44699</v>
      </c>
      <c r="M1168">
        <v>23139</v>
      </c>
    </row>
    <row r="1169" spans="2:13" x14ac:dyDescent="0.55000000000000004">
      <c r="B1169" s="30">
        <v>43936</v>
      </c>
      <c r="C1169">
        <v>1206</v>
      </c>
      <c r="L1169" s="30">
        <v>44698</v>
      </c>
      <c r="M1169">
        <v>23120</v>
      </c>
    </row>
    <row r="1170" spans="2:13" x14ac:dyDescent="0.55000000000000004">
      <c r="B1170" s="30">
        <v>43935</v>
      </c>
      <c r="C1170">
        <v>1192</v>
      </c>
      <c r="L1170" s="30">
        <v>44697</v>
      </c>
      <c r="M1170">
        <v>23095</v>
      </c>
    </row>
    <row r="1171" spans="2:13" x14ac:dyDescent="0.55000000000000004">
      <c r="B1171" s="30">
        <v>43930</v>
      </c>
      <c r="C1171">
        <v>1219</v>
      </c>
      <c r="L1171" s="30">
        <v>44694</v>
      </c>
      <c r="M1171">
        <v>23086</v>
      </c>
    </row>
    <row r="1172" spans="2:13" x14ac:dyDescent="0.55000000000000004">
      <c r="B1172" s="30">
        <v>43929</v>
      </c>
      <c r="C1172">
        <v>1230</v>
      </c>
      <c r="L1172" s="30">
        <v>44693</v>
      </c>
      <c r="M1172">
        <v>23096</v>
      </c>
    </row>
    <row r="1173" spans="2:13" x14ac:dyDescent="0.55000000000000004">
      <c r="B1173" s="30">
        <v>43928</v>
      </c>
      <c r="C1173">
        <v>1233</v>
      </c>
      <c r="L1173" s="30">
        <v>44692</v>
      </c>
      <c r="M1173">
        <v>23050</v>
      </c>
    </row>
    <row r="1174" spans="2:13" x14ac:dyDescent="0.55000000000000004">
      <c r="B1174" s="30">
        <v>43927</v>
      </c>
      <c r="C1174">
        <v>1221</v>
      </c>
      <c r="L1174" s="30">
        <v>44691</v>
      </c>
      <c r="M1174">
        <v>22941</v>
      </c>
    </row>
    <row r="1175" spans="2:13" x14ac:dyDescent="0.55000000000000004">
      <c r="B1175" s="30">
        <v>43924</v>
      </c>
      <c r="C1175">
        <v>1220</v>
      </c>
      <c r="L1175" s="30">
        <v>44690</v>
      </c>
      <c r="M1175">
        <v>22950</v>
      </c>
    </row>
    <row r="1176" spans="2:13" x14ac:dyDescent="0.55000000000000004">
      <c r="B1176" s="30">
        <v>43923</v>
      </c>
      <c r="C1176">
        <v>1234</v>
      </c>
      <c r="L1176" s="30">
        <v>44687</v>
      </c>
      <c r="M1176">
        <v>22955</v>
      </c>
    </row>
    <row r="1177" spans="2:13" x14ac:dyDescent="0.55000000000000004">
      <c r="B1177" s="30">
        <v>43922</v>
      </c>
      <c r="C1177">
        <v>1204</v>
      </c>
      <c r="L1177" s="30">
        <v>44686</v>
      </c>
      <c r="M1177">
        <v>22955</v>
      </c>
    </row>
    <row r="1178" spans="2:13" x14ac:dyDescent="0.55000000000000004">
      <c r="B1178" s="30">
        <v>43921</v>
      </c>
      <c r="C1178">
        <v>1222</v>
      </c>
      <c r="L1178" s="30">
        <v>44685</v>
      </c>
      <c r="M1178">
        <v>22966</v>
      </c>
    </row>
    <row r="1179" spans="2:13" x14ac:dyDescent="0.55000000000000004">
      <c r="B1179" s="30">
        <v>43920</v>
      </c>
      <c r="C1179">
        <v>1237</v>
      </c>
      <c r="L1179" s="30">
        <v>44684</v>
      </c>
      <c r="M1179">
        <v>22962</v>
      </c>
    </row>
    <row r="1180" spans="2:13" x14ac:dyDescent="0.55000000000000004">
      <c r="B1180" s="30">
        <v>43917</v>
      </c>
      <c r="C1180">
        <v>1244</v>
      </c>
      <c r="L1180" s="30">
        <v>44683</v>
      </c>
      <c r="M1180">
        <v>22962</v>
      </c>
    </row>
    <row r="1181" spans="2:13" x14ac:dyDescent="0.55000000000000004">
      <c r="B1181" s="30">
        <v>43916</v>
      </c>
      <c r="C1181">
        <v>1278</v>
      </c>
      <c r="L1181" s="30">
        <v>44680</v>
      </c>
      <c r="M1181">
        <v>22962</v>
      </c>
    </row>
    <row r="1182" spans="2:13" x14ac:dyDescent="0.55000000000000004">
      <c r="B1182" s="30">
        <v>43915</v>
      </c>
      <c r="C1182">
        <v>1259</v>
      </c>
      <c r="L1182" s="30">
        <v>44679</v>
      </c>
      <c r="M1182">
        <v>22956</v>
      </c>
    </row>
    <row r="1183" spans="2:13" x14ac:dyDescent="0.55000000000000004">
      <c r="B1183" s="30">
        <v>43914</v>
      </c>
      <c r="C1183">
        <v>1257</v>
      </c>
      <c r="L1183" s="30">
        <v>44678</v>
      </c>
      <c r="M1183">
        <v>22965</v>
      </c>
    </row>
    <row r="1184" spans="2:13" x14ac:dyDescent="0.55000000000000004">
      <c r="B1184" s="30">
        <v>43913</v>
      </c>
      <c r="C1184">
        <v>1244</v>
      </c>
      <c r="L1184" s="30">
        <v>44677</v>
      </c>
      <c r="M1184">
        <v>22970</v>
      </c>
    </row>
    <row r="1185" spans="2:13" x14ac:dyDescent="0.55000000000000004">
      <c r="B1185" s="30">
        <v>43910</v>
      </c>
      <c r="C1185">
        <v>1244</v>
      </c>
      <c r="L1185" s="30">
        <v>44676</v>
      </c>
      <c r="M1185">
        <v>22983</v>
      </c>
    </row>
    <row r="1186" spans="2:13" x14ac:dyDescent="0.55000000000000004">
      <c r="B1186" s="30">
        <v>43909</v>
      </c>
      <c r="C1186">
        <v>1216</v>
      </c>
      <c r="L1186" s="30">
        <v>44673</v>
      </c>
      <c r="M1186">
        <v>22965</v>
      </c>
    </row>
    <row r="1187" spans="2:13" x14ac:dyDescent="0.55000000000000004">
      <c r="B1187" s="30">
        <v>43908</v>
      </c>
      <c r="C1187">
        <v>1227</v>
      </c>
      <c r="L1187" s="30">
        <v>44672</v>
      </c>
      <c r="M1187">
        <v>22962</v>
      </c>
    </row>
    <row r="1188" spans="2:13" x14ac:dyDescent="0.55000000000000004">
      <c r="B1188" s="30">
        <v>43907</v>
      </c>
      <c r="C1188">
        <v>1212</v>
      </c>
      <c r="L1188" s="30">
        <v>44671</v>
      </c>
      <c r="M1188">
        <v>22962</v>
      </c>
    </row>
    <row r="1189" spans="2:13" x14ac:dyDescent="0.55000000000000004">
      <c r="B1189" s="30">
        <v>43906</v>
      </c>
      <c r="C1189">
        <v>1221</v>
      </c>
      <c r="L1189" s="30">
        <v>44670</v>
      </c>
      <c r="M1189">
        <v>22955</v>
      </c>
    </row>
    <row r="1190" spans="2:13" x14ac:dyDescent="0.55000000000000004">
      <c r="B1190" s="30">
        <v>43903</v>
      </c>
      <c r="C1190">
        <v>1241</v>
      </c>
      <c r="L1190" s="30">
        <v>44669</v>
      </c>
      <c r="M1190">
        <v>22890</v>
      </c>
    </row>
    <row r="1191" spans="2:13" x14ac:dyDescent="0.55000000000000004">
      <c r="B1191" s="30">
        <v>43902</v>
      </c>
      <c r="C1191">
        <v>1249</v>
      </c>
      <c r="L1191" s="30">
        <v>44666</v>
      </c>
      <c r="M1191">
        <v>22899</v>
      </c>
    </row>
    <row r="1192" spans="2:13" x14ac:dyDescent="0.55000000000000004">
      <c r="B1192" s="30">
        <v>43901</v>
      </c>
      <c r="C1192">
        <v>1271</v>
      </c>
      <c r="L1192" s="30">
        <v>44665</v>
      </c>
      <c r="M1192">
        <v>22900</v>
      </c>
    </row>
    <row r="1193" spans="2:13" x14ac:dyDescent="0.55000000000000004">
      <c r="B1193" s="30">
        <v>43900</v>
      </c>
      <c r="C1193">
        <v>1279</v>
      </c>
      <c r="L1193" s="30">
        <v>44664</v>
      </c>
      <c r="M1193">
        <v>22887</v>
      </c>
    </row>
    <row r="1194" spans="2:13" x14ac:dyDescent="0.55000000000000004">
      <c r="B1194" s="30">
        <v>43899</v>
      </c>
      <c r="C1194">
        <v>1247</v>
      </c>
      <c r="L1194" s="30">
        <v>44663</v>
      </c>
      <c r="M1194">
        <v>22888</v>
      </c>
    </row>
    <row r="1195" spans="2:13" x14ac:dyDescent="0.55000000000000004">
      <c r="B1195" s="30">
        <v>43896</v>
      </c>
      <c r="C1195">
        <v>1245</v>
      </c>
      <c r="L1195" s="30">
        <v>44662</v>
      </c>
      <c r="M1195">
        <v>22860</v>
      </c>
    </row>
    <row r="1196" spans="2:13" x14ac:dyDescent="0.55000000000000004">
      <c r="B1196" s="30">
        <v>43895</v>
      </c>
      <c r="C1196">
        <v>1274</v>
      </c>
      <c r="L1196" s="30">
        <v>44659</v>
      </c>
      <c r="M1196">
        <v>22860</v>
      </c>
    </row>
    <row r="1197" spans="2:13" x14ac:dyDescent="0.55000000000000004">
      <c r="B1197" s="30">
        <v>43894</v>
      </c>
      <c r="C1197">
        <v>1307</v>
      </c>
      <c r="L1197" s="30">
        <v>44658</v>
      </c>
      <c r="M1197">
        <v>22859</v>
      </c>
    </row>
    <row r="1198" spans="2:13" x14ac:dyDescent="0.55000000000000004">
      <c r="B1198" s="30">
        <v>43893</v>
      </c>
      <c r="C1198">
        <v>1331</v>
      </c>
      <c r="L1198" s="30">
        <v>44657</v>
      </c>
      <c r="M1198">
        <v>22866</v>
      </c>
    </row>
    <row r="1199" spans="2:13" x14ac:dyDescent="0.55000000000000004">
      <c r="B1199" s="30">
        <v>43892</v>
      </c>
      <c r="C1199">
        <v>1291</v>
      </c>
      <c r="L1199" s="30">
        <v>44656</v>
      </c>
      <c r="M1199">
        <v>22873</v>
      </c>
    </row>
    <row r="1200" spans="2:13" x14ac:dyDescent="0.55000000000000004">
      <c r="B1200" s="30">
        <v>43889</v>
      </c>
      <c r="C1200">
        <v>1283</v>
      </c>
      <c r="L1200" s="30">
        <v>44655</v>
      </c>
      <c r="M1200">
        <v>22846</v>
      </c>
    </row>
    <row r="1201" spans="2:13" x14ac:dyDescent="0.55000000000000004">
      <c r="B1201" s="30">
        <v>43888</v>
      </c>
      <c r="C1201">
        <v>1289</v>
      </c>
      <c r="L1201" s="30">
        <v>44652</v>
      </c>
      <c r="M1201">
        <v>22837</v>
      </c>
    </row>
    <row r="1202" spans="2:13" x14ac:dyDescent="0.55000000000000004">
      <c r="B1202" s="30">
        <v>43887</v>
      </c>
      <c r="C1202">
        <v>1295</v>
      </c>
      <c r="L1202" s="30">
        <v>44651</v>
      </c>
      <c r="M1202">
        <v>22838</v>
      </c>
    </row>
    <row r="1203" spans="2:13" x14ac:dyDescent="0.55000000000000004">
      <c r="B1203" s="30">
        <v>43886</v>
      </c>
      <c r="C1203">
        <v>1282</v>
      </c>
      <c r="L1203" s="30">
        <v>44650</v>
      </c>
      <c r="M1203">
        <v>22854</v>
      </c>
    </row>
    <row r="1204" spans="2:13" x14ac:dyDescent="0.55000000000000004">
      <c r="B1204" s="30">
        <v>43885</v>
      </c>
      <c r="C1204">
        <v>1273</v>
      </c>
      <c r="L1204" s="30">
        <v>44649</v>
      </c>
      <c r="M1204">
        <v>22865</v>
      </c>
    </row>
    <row r="1205" spans="2:13" x14ac:dyDescent="0.55000000000000004">
      <c r="B1205" s="30">
        <v>43882</v>
      </c>
      <c r="C1205">
        <v>1296</v>
      </c>
      <c r="L1205" s="30">
        <v>44648</v>
      </c>
      <c r="M1205">
        <v>22860</v>
      </c>
    </row>
    <row r="1206" spans="2:13" x14ac:dyDescent="0.55000000000000004">
      <c r="B1206" s="30">
        <v>43881</v>
      </c>
      <c r="C1206">
        <v>1279</v>
      </c>
      <c r="L1206" s="30">
        <v>44645</v>
      </c>
      <c r="M1206">
        <v>22861</v>
      </c>
    </row>
    <row r="1207" spans="2:13" x14ac:dyDescent="0.55000000000000004">
      <c r="B1207" s="30">
        <v>43880</v>
      </c>
      <c r="C1207">
        <v>1290</v>
      </c>
      <c r="L1207" s="30">
        <v>44644</v>
      </c>
      <c r="M1207">
        <v>22869</v>
      </c>
    </row>
    <row r="1208" spans="2:13" x14ac:dyDescent="0.55000000000000004">
      <c r="B1208" s="30">
        <v>43879</v>
      </c>
      <c r="C1208">
        <v>1293</v>
      </c>
      <c r="L1208" s="30">
        <v>44643</v>
      </c>
      <c r="M1208">
        <v>22872</v>
      </c>
    </row>
    <row r="1209" spans="2:13" x14ac:dyDescent="0.55000000000000004">
      <c r="B1209" s="30">
        <v>43878</v>
      </c>
      <c r="C1209">
        <v>1314</v>
      </c>
      <c r="L1209" s="30">
        <v>44642</v>
      </c>
      <c r="M1209">
        <v>22870</v>
      </c>
    </row>
    <row r="1210" spans="2:13" x14ac:dyDescent="0.55000000000000004">
      <c r="B1210" s="30">
        <v>43875</v>
      </c>
      <c r="C1210">
        <v>1314</v>
      </c>
      <c r="L1210" s="30">
        <v>44641</v>
      </c>
      <c r="M1210">
        <v>22860</v>
      </c>
    </row>
    <row r="1211" spans="2:13" x14ac:dyDescent="0.55000000000000004">
      <c r="B1211" s="30">
        <v>43874</v>
      </c>
      <c r="C1211">
        <v>1301</v>
      </c>
      <c r="L1211" s="30">
        <v>44638</v>
      </c>
      <c r="M1211">
        <v>22860</v>
      </c>
    </row>
    <row r="1212" spans="2:13" x14ac:dyDescent="0.55000000000000004">
      <c r="B1212" s="30">
        <v>43873</v>
      </c>
      <c r="C1212">
        <v>1287</v>
      </c>
      <c r="L1212" s="30">
        <v>44637</v>
      </c>
      <c r="M1212">
        <v>22865</v>
      </c>
    </row>
    <row r="1213" spans="2:13" x14ac:dyDescent="0.55000000000000004">
      <c r="B1213" s="30">
        <v>43872</v>
      </c>
      <c r="C1213">
        <v>1299</v>
      </c>
      <c r="L1213" s="30">
        <v>44636</v>
      </c>
      <c r="M1213">
        <v>22879</v>
      </c>
    </row>
    <row r="1214" spans="2:13" x14ac:dyDescent="0.55000000000000004">
      <c r="B1214" s="30">
        <v>43871</v>
      </c>
      <c r="C1214">
        <v>1285</v>
      </c>
      <c r="L1214" s="30">
        <v>44635</v>
      </c>
      <c r="M1214">
        <v>22880</v>
      </c>
    </row>
    <row r="1215" spans="2:13" x14ac:dyDescent="0.55000000000000004">
      <c r="B1215" s="30">
        <v>43868</v>
      </c>
      <c r="C1215">
        <v>1290</v>
      </c>
      <c r="L1215" s="30">
        <v>44634</v>
      </c>
      <c r="M1215">
        <v>22890</v>
      </c>
    </row>
    <row r="1216" spans="2:13" x14ac:dyDescent="0.55000000000000004">
      <c r="B1216" s="30">
        <v>43867</v>
      </c>
      <c r="C1216">
        <v>1297</v>
      </c>
      <c r="L1216" s="30">
        <v>44631</v>
      </c>
      <c r="M1216">
        <v>22873</v>
      </c>
    </row>
    <row r="1217" spans="2:13" x14ac:dyDescent="0.55000000000000004">
      <c r="B1217" s="30">
        <v>43866</v>
      </c>
      <c r="C1217">
        <v>1284</v>
      </c>
      <c r="L1217" s="30">
        <v>44630</v>
      </c>
      <c r="M1217">
        <v>22835</v>
      </c>
    </row>
    <row r="1218" spans="2:13" x14ac:dyDescent="0.55000000000000004">
      <c r="B1218" s="30">
        <v>43865</v>
      </c>
      <c r="C1218">
        <v>1290</v>
      </c>
      <c r="L1218" s="30">
        <v>44629</v>
      </c>
      <c r="M1218">
        <v>22835</v>
      </c>
    </row>
    <row r="1219" spans="2:13" x14ac:dyDescent="0.55000000000000004">
      <c r="B1219" s="30">
        <v>43864</v>
      </c>
      <c r="C1219">
        <v>1302</v>
      </c>
      <c r="L1219" s="30">
        <v>44628</v>
      </c>
      <c r="M1219">
        <v>22845</v>
      </c>
    </row>
    <row r="1220" spans="2:13" x14ac:dyDescent="0.55000000000000004">
      <c r="B1220" s="30">
        <v>43861</v>
      </c>
      <c r="C1220">
        <v>1342</v>
      </c>
      <c r="L1220" s="30">
        <v>44627</v>
      </c>
      <c r="M1220">
        <v>22845</v>
      </c>
    </row>
    <row r="1221" spans="2:13" x14ac:dyDescent="0.55000000000000004">
      <c r="B1221" s="30">
        <v>43860</v>
      </c>
      <c r="C1221">
        <v>1315</v>
      </c>
      <c r="L1221" s="30">
        <v>44624</v>
      </c>
      <c r="M1221">
        <v>22830</v>
      </c>
    </row>
    <row r="1222" spans="2:13" x14ac:dyDescent="0.55000000000000004">
      <c r="B1222" s="30">
        <v>43859</v>
      </c>
      <c r="C1222">
        <v>1317</v>
      </c>
      <c r="L1222" s="30">
        <v>44623</v>
      </c>
      <c r="M1222">
        <v>22835</v>
      </c>
    </row>
    <row r="1223" spans="2:13" x14ac:dyDescent="0.55000000000000004">
      <c r="B1223" s="30">
        <v>43858</v>
      </c>
      <c r="C1223">
        <v>1337</v>
      </c>
      <c r="L1223" s="30">
        <v>44622</v>
      </c>
      <c r="M1223">
        <v>22840</v>
      </c>
    </row>
    <row r="1224" spans="2:13" x14ac:dyDescent="0.55000000000000004">
      <c r="B1224" s="30">
        <v>43857</v>
      </c>
      <c r="C1224">
        <v>1328</v>
      </c>
      <c r="L1224" s="30">
        <v>44621</v>
      </c>
      <c r="M1224">
        <v>22815</v>
      </c>
    </row>
    <row r="1225" spans="2:13" x14ac:dyDescent="0.55000000000000004">
      <c r="B1225" s="30">
        <v>43854</v>
      </c>
      <c r="C1225">
        <v>1319</v>
      </c>
      <c r="L1225" s="30">
        <v>44620</v>
      </c>
      <c r="M1225">
        <v>22805</v>
      </c>
    </row>
    <row r="1226" spans="2:13" x14ac:dyDescent="0.55000000000000004">
      <c r="B1226" s="30">
        <v>43853</v>
      </c>
      <c r="C1226">
        <v>1367</v>
      </c>
      <c r="L1226" s="30">
        <v>44617</v>
      </c>
      <c r="M1226">
        <v>22820</v>
      </c>
    </row>
    <row r="1227" spans="2:13" x14ac:dyDescent="0.55000000000000004">
      <c r="B1227" s="30">
        <v>43852</v>
      </c>
      <c r="C1227">
        <v>1337</v>
      </c>
      <c r="L1227" s="30">
        <v>44616</v>
      </c>
      <c r="M1227">
        <v>22840</v>
      </c>
    </row>
    <row r="1228" spans="2:13" x14ac:dyDescent="0.55000000000000004">
      <c r="B1228" s="30">
        <v>43851</v>
      </c>
      <c r="C1228">
        <v>1335</v>
      </c>
      <c r="L1228" s="30">
        <v>44615</v>
      </c>
      <c r="M1228">
        <v>22825</v>
      </c>
    </row>
    <row r="1229" spans="2:13" x14ac:dyDescent="0.55000000000000004">
      <c r="B1229" s="30">
        <v>43850</v>
      </c>
      <c r="C1229">
        <v>1305</v>
      </c>
      <c r="L1229" s="30">
        <v>44614</v>
      </c>
      <c r="M1229">
        <v>22815</v>
      </c>
    </row>
    <row r="1230" spans="2:13" x14ac:dyDescent="0.55000000000000004">
      <c r="B1230" s="30">
        <v>43847</v>
      </c>
      <c r="C1230">
        <v>1319</v>
      </c>
      <c r="L1230" s="30">
        <v>44613</v>
      </c>
      <c r="M1230">
        <v>22800</v>
      </c>
    </row>
    <row r="1231" spans="2:13" x14ac:dyDescent="0.55000000000000004">
      <c r="B1231" s="30">
        <v>43846</v>
      </c>
      <c r="C1231">
        <v>1314</v>
      </c>
      <c r="L1231" s="30">
        <v>44610</v>
      </c>
      <c r="M1231">
        <v>22820</v>
      </c>
    </row>
    <row r="1232" spans="2:13" x14ac:dyDescent="0.55000000000000004">
      <c r="B1232" s="30">
        <v>43845</v>
      </c>
      <c r="C1232">
        <v>1327</v>
      </c>
      <c r="L1232" s="30">
        <v>44609</v>
      </c>
      <c r="M1232">
        <v>22785</v>
      </c>
    </row>
    <row r="1233" spans="2:13" x14ac:dyDescent="0.55000000000000004">
      <c r="B1233" s="30">
        <v>43844</v>
      </c>
      <c r="C1233">
        <v>1320</v>
      </c>
      <c r="L1233" s="30">
        <v>44608</v>
      </c>
      <c r="M1233">
        <v>22750</v>
      </c>
    </row>
    <row r="1234" spans="2:13" x14ac:dyDescent="0.55000000000000004">
      <c r="B1234" s="30">
        <v>43843</v>
      </c>
      <c r="C1234">
        <v>1312</v>
      </c>
      <c r="L1234" s="30">
        <v>44607</v>
      </c>
      <c r="M1234">
        <v>22750</v>
      </c>
    </row>
    <row r="1235" spans="2:13" x14ac:dyDescent="0.55000000000000004">
      <c r="B1235" s="30">
        <v>43840</v>
      </c>
      <c r="C1235">
        <v>1345</v>
      </c>
      <c r="L1235" s="30">
        <v>44606</v>
      </c>
      <c r="M1235">
        <v>22725</v>
      </c>
    </row>
    <row r="1236" spans="2:13" x14ac:dyDescent="0.55000000000000004">
      <c r="B1236" s="30">
        <v>43839</v>
      </c>
      <c r="C1236">
        <v>1338</v>
      </c>
      <c r="L1236" s="30">
        <v>44603</v>
      </c>
      <c r="M1236">
        <v>22685</v>
      </c>
    </row>
    <row r="1237" spans="2:13" x14ac:dyDescent="0.55000000000000004">
      <c r="B1237" s="30">
        <v>43838</v>
      </c>
      <c r="C1237">
        <v>1354</v>
      </c>
      <c r="L1237" s="30">
        <v>44602</v>
      </c>
      <c r="M1237">
        <v>22680</v>
      </c>
    </row>
    <row r="1238" spans="2:13" x14ac:dyDescent="0.55000000000000004">
      <c r="B1238" s="30">
        <v>43837</v>
      </c>
      <c r="C1238">
        <v>1364</v>
      </c>
      <c r="L1238" s="30">
        <v>44601</v>
      </c>
      <c r="M1238">
        <v>22680</v>
      </c>
    </row>
    <row r="1239" spans="2:13" x14ac:dyDescent="0.55000000000000004">
      <c r="B1239" s="30">
        <v>43836</v>
      </c>
      <c r="C1239">
        <v>1352</v>
      </c>
      <c r="L1239" s="30">
        <v>44600</v>
      </c>
      <c r="M1239">
        <v>22715</v>
      </c>
    </row>
    <row r="1240" spans="2:13" x14ac:dyDescent="0.55000000000000004">
      <c r="B1240" s="30">
        <v>43833</v>
      </c>
      <c r="C1240">
        <v>1372</v>
      </c>
      <c r="L1240" s="30">
        <v>44599</v>
      </c>
      <c r="M1240">
        <v>22665</v>
      </c>
    </row>
    <row r="1241" spans="2:13" x14ac:dyDescent="0.55000000000000004">
      <c r="B1241" s="30">
        <v>43832</v>
      </c>
      <c r="C1241">
        <v>1380</v>
      </c>
      <c r="L1241" s="30">
        <v>44596</v>
      </c>
      <c r="M1241">
        <v>22645</v>
      </c>
    </row>
    <row r="1242" spans="2:13" x14ac:dyDescent="0.55000000000000004">
      <c r="B1242" s="30">
        <v>43830</v>
      </c>
      <c r="C1242">
        <v>1382</v>
      </c>
      <c r="L1242" s="30">
        <v>44595</v>
      </c>
      <c r="M1242">
        <v>22645</v>
      </c>
    </row>
    <row r="1243" spans="2:13" x14ac:dyDescent="0.55000000000000004">
      <c r="B1243" s="30">
        <v>43829</v>
      </c>
      <c r="C1243">
        <v>1375</v>
      </c>
      <c r="L1243" s="30">
        <v>44594</v>
      </c>
      <c r="M1243">
        <v>22645</v>
      </c>
    </row>
    <row r="1244" spans="2:13" x14ac:dyDescent="0.55000000000000004">
      <c r="B1244" s="30">
        <v>43826</v>
      </c>
      <c r="C1244">
        <v>1387</v>
      </c>
      <c r="L1244" s="30">
        <v>44593</v>
      </c>
      <c r="M1244">
        <v>22645</v>
      </c>
    </row>
    <row r="1245" spans="2:13" x14ac:dyDescent="0.55000000000000004">
      <c r="B1245" s="30">
        <v>43823</v>
      </c>
      <c r="C1245">
        <v>1350</v>
      </c>
      <c r="L1245" s="30">
        <v>44592</v>
      </c>
      <c r="M1245">
        <v>22645</v>
      </c>
    </row>
    <row r="1246" spans="2:13" x14ac:dyDescent="0.55000000000000004">
      <c r="B1246" s="30">
        <v>43822</v>
      </c>
      <c r="C1246">
        <v>1335</v>
      </c>
      <c r="L1246" s="30">
        <v>44589</v>
      </c>
      <c r="M1246">
        <v>22645</v>
      </c>
    </row>
    <row r="1247" spans="2:13" x14ac:dyDescent="0.55000000000000004">
      <c r="B1247" s="30">
        <v>43819</v>
      </c>
      <c r="C1247">
        <v>1374</v>
      </c>
      <c r="L1247" s="30">
        <v>44588</v>
      </c>
      <c r="M1247">
        <v>22630</v>
      </c>
    </row>
    <row r="1248" spans="2:13" x14ac:dyDescent="0.55000000000000004">
      <c r="B1248" s="30">
        <v>43818</v>
      </c>
      <c r="C1248">
        <v>1367</v>
      </c>
      <c r="L1248" s="30">
        <v>44587</v>
      </c>
      <c r="M1248">
        <v>22630</v>
      </c>
    </row>
    <row r="1249" spans="2:13" x14ac:dyDescent="0.55000000000000004">
      <c r="B1249" s="30">
        <v>43817</v>
      </c>
      <c r="C1249">
        <v>1409</v>
      </c>
      <c r="L1249" s="30">
        <v>44586</v>
      </c>
      <c r="M1249">
        <v>22630</v>
      </c>
    </row>
    <row r="1250" spans="2:13" x14ac:dyDescent="0.55000000000000004">
      <c r="B1250" s="30">
        <v>43816</v>
      </c>
      <c r="C1250">
        <v>1416</v>
      </c>
      <c r="L1250" s="30">
        <v>44585</v>
      </c>
      <c r="M1250">
        <v>22675</v>
      </c>
    </row>
    <row r="1251" spans="2:13" x14ac:dyDescent="0.55000000000000004">
      <c r="B1251" s="30">
        <v>43815</v>
      </c>
      <c r="C1251">
        <v>1450</v>
      </c>
      <c r="L1251" s="30">
        <v>44582</v>
      </c>
      <c r="M1251">
        <v>22625</v>
      </c>
    </row>
    <row r="1252" spans="2:13" x14ac:dyDescent="0.55000000000000004">
      <c r="B1252" s="30">
        <v>43812</v>
      </c>
      <c r="C1252">
        <v>1417</v>
      </c>
      <c r="L1252" s="30">
        <v>44581</v>
      </c>
      <c r="M1252">
        <v>22645</v>
      </c>
    </row>
    <row r="1253" spans="2:13" x14ac:dyDescent="0.55000000000000004">
      <c r="B1253" s="30">
        <v>43811</v>
      </c>
      <c r="C1253">
        <v>1447</v>
      </c>
      <c r="L1253" s="30">
        <v>44580</v>
      </c>
      <c r="M1253">
        <v>22700</v>
      </c>
    </row>
    <row r="1254" spans="2:13" x14ac:dyDescent="0.55000000000000004">
      <c r="B1254" s="30">
        <v>43810</v>
      </c>
      <c r="C1254">
        <v>1427</v>
      </c>
      <c r="L1254" s="30">
        <v>44579</v>
      </c>
      <c r="M1254">
        <v>22750</v>
      </c>
    </row>
    <row r="1255" spans="2:13" x14ac:dyDescent="0.55000000000000004">
      <c r="B1255" s="30">
        <v>43809</v>
      </c>
      <c r="C1255">
        <v>1453</v>
      </c>
      <c r="L1255" s="30">
        <v>44578</v>
      </c>
      <c r="M1255">
        <v>22720</v>
      </c>
    </row>
    <row r="1256" spans="2:13" x14ac:dyDescent="0.55000000000000004">
      <c r="B1256" s="30">
        <v>43808</v>
      </c>
      <c r="C1256">
        <v>1401</v>
      </c>
      <c r="L1256" s="30">
        <v>44575</v>
      </c>
      <c r="M1256">
        <v>22710</v>
      </c>
    </row>
    <row r="1257" spans="2:13" x14ac:dyDescent="0.55000000000000004">
      <c r="B1257" s="30">
        <v>43805</v>
      </c>
      <c r="C1257">
        <v>1412</v>
      </c>
      <c r="L1257" s="30">
        <v>44574</v>
      </c>
      <c r="M1257">
        <v>22710</v>
      </c>
    </row>
    <row r="1258" spans="2:13" x14ac:dyDescent="0.55000000000000004">
      <c r="B1258" s="30">
        <v>43804</v>
      </c>
      <c r="C1258">
        <v>1401</v>
      </c>
      <c r="L1258" s="30">
        <v>44573</v>
      </c>
      <c r="M1258">
        <v>22698</v>
      </c>
    </row>
    <row r="1259" spans="2:13" x14ac:dyDescent="0.55000000000000004">
      <c r="B1259" s="30">
        <v>43803</v>
      </c>
      <c r="C1259">
        <v>1370</v>
      </c>
      <c r="L1259" s="30">
        <v>44572</v>
      </c>
      <c r="M1259">
        <v>22698</v>
      </c>
    </row>
    <row r="1260" spans="2:13" x14ac:dyDescent="0.55000000000000004">
      <c r="B1260" s="30">
        <v>43802</v>
      </c>
      <c r="C1260">
        <v>1412</v>
      </c>
      <c r="L1260" s="30">
        <v>44571</v>
      </c>
      <c r="M1260">
        <v>22695</v>
      </c>
    </row>
    <row r="1261" spans="2:13" x14ac:dyDescent="0.55000000000000004">
      <c r="B1261" s="30">
        <v>43801</v>
      </c>
      <c r="C1261">
        <v>1410</v>
      </c>
      <c r="L1261" s="30">
        <v>44568</v>
      </c>
      <c r="M1261">
        <v>22685</v>
      </c>
    </row>
    <row r="1262" spans="2:13" x14ac:dyDescent="0.55000000000000004">
      <c r="B1262" s="30">
        <v>43798</v>
      </c>
      <c r="C1262">
        <v>1406</v>
      </c>
      <c r="L1262" s="30">
        <v>44567</v>
      </c>
      <c r="M1262">
        <v>22745</v>
      </c>
    </row>
    <row r="1263" spans="2:13" x14ac:dyDescent="0.55000000000000004">
      <c r="B1263" s="30">
        <v>43797</v>
      </c>
      <c r="C1263">
        <v>1398</v>
      </c>
      <c r="L1263" s="30">
        <v>44566</v>
      </c>
      <c r="M1263">
        <v>22755</v>
      </c>
    </row>
    <row r="1264" spans="2:13" x14ac:dyDescent="0.55000000000000004">
      <c r="B1264" s="30">
        <v>43796</v>
      </c>
      <c r="C1264">
        <v>1402</v>
      </c>
      <c r="L1264" s="30">
        <v>44565</v>
      </c>
      <c r="M1264">
        <v>22752</v>
      </c>
    </row>
    <row r="1265" spans="2:13" x14ac:dyDescent="0.55000000000000004">
      <c r="B1265" s="30">
        <v>43795</v>
      </c>
      <c r="C1265">
        <v>1391</v>
      </c>
      <c r="L1265" s="30">
        <v>44564</v>
      </c>
      <c r="M1265">
        <v>22825</v>
      </c>
    </row>
    <row r="1266" spans="2:13" x14ac:dyDescent="0.55000000000000004">
      <c r="B1266" s="30">
        <v>43794</v>
      </c>
      <c r="C1266">
        <v>1418</v>
      </c>
      <c r="L1266" s="30">
        <v>44561</v>
      </c>
      <c r="M1266">
        <v>22825</v>
      </c>
    </row>
    <row r="1267" spans="2:13" x14ac:dyDescent="0.55000000000000004">
      <c r="B1267" s="30">
        <v>43791</v>
      </c>
      <c r="C1267">
        <v>1402</v>
      </c>
      <c r="L1267" s="30">
        <v>44560</v>
      </c>
      <c r="M1267">
        <v>22765</v>
      </c>
    </row>
    <row r="1268" spans="2:13" x14ac:dyDescent="0.55000000000000004">
      <c r="B1268" s="30">
        <v>43790</v>
      </c>
      <c r="C1268">
        <v>1402</v>
      </c>
      <c r="L1268" s="30">
        <v>44559</v>
      </c>
      <c r="M1268">
        <v>22820</v>
      </c>
    </row>
    <row r="1269" spans="2:13" x14ac:dyDescent="0.55000000000000004">
      <c r="B1269" s="30">
        <v>43789</v>
      </c>
      <c r="C1269">
        <v>1386</v>
      </c>
      <c r="L1269" s="30">
        <v>44558</v>
      </c>
      <c r="M1269">
        <v>22835</v>
      </c>
    </row>
    <row r="1270" spans="2:13" x14ac:dyDescent="0.55000000000000004">
      <c r="B1270" s="30">
        <v>43788</v>
      </c>
      <c r="C1270">
        <v>1340</v>
      </c>
      <c r="L1270" s="30">
        <v>44557</v>
      </c>
      <c r="M1270">
        <v>22810</v>
      </c>
    </row>
    <row r="1271" spans="2:13" x14ac:dyDescent="0.55000000000000004">
      <c r="B1271" s="30">
        <v>43787</v>
      </c>
      <c r="C1271">
        <v>1372</v>
      </c>
      <c r="L1271" s="30">
        <v>44554</v>
      </c>
      <c r="M1271">
        <v>22840</v>
      </c>
    </row>
    <row r="1272" spans="2:13" x14ac:dyDescent="0.55000000000000004">
      <c r="B1272" s="30">
        <v>43784</v>
      </c>
      <c r="C1272">
        <v>1398</v>
      </c>
      <c r="L1272" s="30">
        <v>44553</v>
      </c>
      <c r="M1272">
        <v>22950</v>
      </c>
    </row>
    <row r="1273" spans="2:13" x14ac:dyDescent="0.55000000000000004">
      <c r="B1273" s="30">
        <v>43783</v>
      </c>
      <c r="C1273">
        <v>1421</v>
      </c>
      <c r="L1273" s="30">
        <v>44552</v>
      </c>
      <c r="M1273">
        <v>22955</v>
      </c>
    </row>
    <row r="1274" spans="2:13" x14ac:dyDescent="0.55000000000000004">
      <c r="B1274" s="30">
        <v>43782</v>
      </c>
      <c r="C1274">
        <v>1411</v>
      </c>
      <c r="L1274" s="30">
        <v>44551</v>
      </c>
      <c r="M1274">
        <v>22933</v>
      </c>
    </row>
    <row r="1275" spans="2:13" x14ac:dyDescent="0.55000000000000004">
      <c r="B1275" s="30">
        <v>43781</v>
      </c>
      <c r="C1275">
        <v>1371</v>
      </c>
      <c r="L1275" s="30">
        <v>44550</v>
      </c>
      <c r="M1275">
        <v>22928</v>
      </c>
    </row>
    <row r="1276" spans="2:13" x14ac:dyDescent="0.55000000000000004">
      <c r="B1276" s="30">
        <v>43780</v>
      </c>
      <c r="C1276">
        <v>1375</v>
      </c>
      <c r="L1276" s="30">
        <v>44547</v>
      </c>
      <c r="M1276">
        <v>22980</v>
      </c>
    </row>
    <row r="1277" spans="2:13" x14ac:dyDescent="0.55000000000000004">
      <c r="B1277" s="30">
        <v>43777</v>
      </c>
      <c r="C1277">
        <v>1384</v>
      </c>
      <c r="L1277" s="30">
        <v>44546</v>
      </c>
      <c r="M1277">
        <v>22990</v>
      </c>
    </row>
    <row r="1278" spans="2:13" x14ac:dyDescent="0.55000000000000004">
      <c r="B1278" s="30">
        <v>43776</v>
      </c>
      <c r="C1278">
        <v>1378</v>
      </c>
      <c r="L1278" s="30">
        <v>44545</v>
      </c>
      <c r="M1278">
        <v>23030</v>
      </c>
    </row>
    <row r="1279" spans="2:13" x14ac:dyDescent="0.55000000000000004">
      <c r="B1279" s="30">
        <v>43775</v>
      </c>
      <c r="C1279">
        <v>1352</v>
      </c>
      <c r="L1279" s="30">
        <v>44544</v>
      </c>
      <c r="M1279">
        <v>23000</v>
      </c>
    </row>
    <row r="1280" spans="2:13" x14ac:dyDescent="0.55000000000000004">
      <c r="B1280" s="30">
        <v>43774</v>
      </c>
      <c r="C1280">
        <v>1339</v>
      </c>
      <c r="L1280" s="30">
        <v>44543</v>
      </c>
      <c r="M1280">
        <v>22975</v>
      </c>
    </row>
    <row r="1281" spans="2:13" x14ac:dyDescent="0.55000000000000004">
      <c r="B1281" s="30">
        <v>43773</v>
      </c>
      <c r="C1281">
        <v>1306</v>
      </c>
      <c r="L1281" s="30">
        <v>44540</v>
      </c>
      <c r="M1281">
        <v>23025</v>
      </c>
    </row>
    <row r="1282" spans="2:13" x14ac:dyDescent="0.55000000000000004">
      <c r="B1282" s="30">
        <v>43770</v>
      </c>
      <c r="C1282">
        <v>1322</v>
      </c>
      <c r="L1282" s="30">
        <v>44539</v>
      </c>
      <c r="M1282">
        <v>22980</v>
      </c>
    </row>
    <row r="1283" spans="2:13" x14ac:dyDescent="0.55000000000000004">
      <c r="B1283" s="30">
        <v>43769</v>
      </c>
      <c r="C1283">
        <v>1322</v>
      </c>
      <c r="L1283" s="30">
        <v>44538</v>
      </c>
      <c r="M1283">
        <v>22920</v>
      </c>
    </row>
    <row r="1284" spans="2:13" x14ac:dyDescent="0.55000000000000004">
      <c r="B1284" s="30">
        <v>43768</v>
      </c>
      <c r="C1284">
        <v>1291</v>
      </c>
      <c r="L1284" s="30">
        <v>44537</v>
      </c>
      <c r="M1284">
        <v>23070</v>
      </c>
    </row>
    <row r="1285" spans="2:13" x14ac:dyDescent="0.55000000000000004">
      <c r="B1285" s="30">
        <v>43767</v>
      </c>
      <c r="C1285">
        <v>1276</v>
      </c>
      <c r="L1285" s="30">
        <v>44536</v>
      </c>
      <c r="M1285">
        <v>23020</v>
      </c>
    </row>
    <row r="1286" spans="2:13" x14ac:dyDescent="0.55000000000000004">
      <c r="B1286" s="30">
        <v>43766</v>
      </c>
      <c r="C1286">
        <v>1277</v>
      </c>
      <c r="L1286" s="30">
        <v>44533</v>
      </c>
      <c r="M1286">
        <v>22830</v>
      </c>
    </row>
    <row r="1287" spans="2:13" x14ac:dyDescent="0.55000000000000004">
      <c r="B1287" s="30">
        <v>43763</v>
      </c>
      <c r="C1287">
        <v>1250</v>
      </c>
      <c r="L1287" s="30">
        <v>44532</v>
      </c>
      <c r="M1287">
        <v>22730</v>
      </c>
    </row>
    <row r="1288" spans="2:13" x14ac:dyDescent="0.55000000000000004">
      <c r="B1288" s="30">
        <v>43762</v>
      </c>
      <c r="C1288">
        <v>1237</v>
      </c>
      <c r="L1288" s="30">
        <v>44531</v>
      </c>
      <c r="M1288">
        <v>22710</v>
      </c>
    </row>
    <row r="1289" spans="2:13" x14ac:dyDescent="0.55000000000000004">
      <c r="B1289" s="30">
        <v>43761</v>
      </c>
      <c r="C1289">
        <v>1241</v>
      </c>
      <c r="L1289" s="30">
        <v>44530</v>
      </c>
      <c r="M1289">
        <v>22688</v>
      </c>
    </row>
    <row r="1290" spans="2:13" x14ac:dyDescent="0.55000000000000004">
      <c r="B1290" s="30">
        <v>43760</v>
      </c>
      <c r="C1290">
        <v>1248</v>
      </c>
      <c r="L1290" s="30">
        <v>44529</v>
      </c>
      <c r="M1290">
        <v>22690</v>
      </c>
    </row>
    <row r="1291" spans="2:13" x14ac:dyDescent="0.55000000000000004">
      <c r="B1291" s="30">
        <v>43759</v>
      </c>
      <c r="C1291">
        <v>1244</v>
      </c>
      <c r="L1291" s="30">
        <v>44526</v>
      </c>
      <c r="M1291">
        <v>22678</v>
      </c>
    </row>
    <row r="1292" spans="2:13" x14ac:dyDescent="0.55000000000000004">
      <c r="B1292" s="30">
        <v>43756</v>
      </c>
      <c r="C1292">
        <v>1251</v>
      </c>
      <c r="L1292" s="30">
        <v>44525</v>
      </c>
      <c r="M1292">
        <v>22670</v>
      </c>
    </row>
    <row r="1293" spans="2:13" x14ac:dyDescent="0.55000000000000004">
      <c r="B1293" s="30">
        <v>43755</v>
      </c>
      <c r="C1293">
        <v>1227</v>
      </c>
      <c r="L1293" s="30">
        <v>44524</v>
      </c>
      <c r="M1293">
        <v>22680</v>
      </c>
    </row>
    <row r="1294" spans="2:13" x14ac:dyDescent="0.55000000000000004">
      <c r="B1294" s="30">
        <v>43754</v>
      </c>
      <c r="C1294">
        <v>1240</v>
      </c>
      <c r="L1294" s="30">
        <v>44523</v>
      </c>
      <c r="M1294">
        <v>22675</v>
      </c>
    </row>
    <row r="1295" spans="2:13" x14ac:dyDescent="0.55000000000000004">
      <c r="B1295" s="30">
        <v>43753</v>
      </c>
      <c r="C1295">
        <v>1264</v>
      </c>
      <c r="L1295" s="30">
        <v>44522</v>
      </c>
      <c r="M1295">
        <v>22670</v>
      </c>
    </row>
    <row r="1296" spans="2:13" x14ac:dyDescent="0.55000000000000004">
      <c r="B1296" s="30">
        <v>43752</v>
      </c>
      <c r="C1296">
        <v>1276</v>
      </c>
      <c r="L1296" s="30">
        <v>44519</v>
      </c>
      <c r="M1296">
        <v>22657</v>
      </c>
    </row>
    <row r="1297" spans="2:13" x14ac:dyDescent="0.55000000000000004">
      <c r="B1297" s="30">
        <v>43749</v>
      </c>
      <c r="C1297">
        <v>1263</v>
      </c>
      <c r="L1297" s="30">
        <v>44518</v>
      </c>
      <c r="M1297">
        <v>22650</v>
      </c>
    </row>
    <row r="1298" spans="2:13" x14ac:dyDescent="0.55000000000000004">
      <c r="B1298" s="30">
        <v>43748</v>
      </c>
      <c r="C1298">
        <v>1277</v>
      </c>
      <c r="L1298" s="30">
        <v>44517</v>
      </c>
      <c r="M1298">
        <v>22648</v>
      </c>
    </row>
    <row r="1299" spans="2:13" x14ac:dyDescent="0.55000000000000004">
      <c r="B1299" s="30">
        <v>43747</v>
      </c>
      <c r="C1299">
        <v>1280</v>
      </c>
      <c r="L1299" s="30">
        <v>44516</v>
      </c>
      <c r="M1299">
        <v>22650</v>
      </c>
    </row>
    <row r="1300" spans="2:13" x14ac:dyDescent="0.55000000000000004">
      <c r="B1300" s="30">
        <v>43746</v>
      </c>
      <c r="C1300">
        <v>1282</v>
      </c>
      <c r="L1300" s="30">
        <v>44515</v>
      </c>
      <c r="M1300">
        <v>22645</v>
      </c>
    </row>
    <row r="1301" spans="2:13" x14ac:dyDescent="0.55000000000000004">
      <c r="B1301" s="30">
        <v>43745</v>
      </c>
      <c r="C1301">
        <v>1276</v>
      </c>
      <c r="L1301" s="30">
        <v>44512</v>
      </c>
      <c r="M1301">
        <v>22640</v>
      </c>
    </row>
    <row r="1302" spans="2:13" x14ac:dyDescent="0.55000000000000004">
      <c r="B1302" s="30">
        <v>43742</v>
      </c>
      <c r="C1302">
        <v>1312</v>
      </c>
      <c r="L1302" s="30">
        <v>44511</v>
      </c>
      <c r="M1302">
        <v>22645</v>
      </c>
    </row>
    <row r="1303" spans="2:13" x14ac:dyDescent="0.55000000000000004">
      <c r="B1303" s="30">
        <v>43741</v>
      </c>
      <c r="C1303">
        <v>1331</v>
      </c>
      <c r="L1303" s="30">
        <v>44510</v>
      </c>
      <c r="M1303">
        <v>22660</v>
      </c>
    </row>
    <row r="1304" spans="2:13" x14ac:dyDescent="0.55000000000000004">
      <c r="B1304" s="30">
        <v>43740</v>
      </c>
      <c r="C1304">
        <v>1322</v>
      </c>
      <c r="L1304" s="30">
        <v>44509</v>
      </c>
      <c r="M1304">
        <v>22662</v>
      </c>
    </row>
    <row r="1305" spans="2:13" x14ac:dyDescent="0.55000000000000004">
      <c r="B1305" s="30">
        <v>43739</v>
      </c>
      <c r="C1305">
        <v>1330</v>
      </c>
      <c r="L1305" s="30">
        <v>44508</v>
      </c>
      <c r="M1305">
        <v>22660</v>
      </c>
    </row>
    <row r="1306" spans="2:13" x14ac:dyDescent="0.55000000000000004">
      <c r="B1306" s="30">
        <v>43738</v>
      </c>
      <c r="C1306">
        <v>1340</v>
      </c>
      <c r="L1306" s="30">
        <v>44505</v>
      </c>
      <c r="M1306">
        <v>22680</v>
      </c>
    </row>
    <row r="1307" spans="2:13" x14ac:dyDescent="0.55000000000000004">
      <c r="B1307" s="30">
        <v>43735</v>
      </c>
      <c r="C1307">
        <v>1341</v>
      </c>
      <c r="L1307" s="30">
        <v>44504</v>
      </c>
      <c r="M1307">
        <v>22680</v>
      </c>
    </row>
    <row r="1308" spans="2:13" x14ac:dyDescent="0.55000000000000004">
      <c r="B1308" s="30">
        <v>43734</v>
      </c>
      <c r="C1308">
        <v>1332</v>
      </c>
      <c r="L1308" s="30">
        <v>44503</v>
      </c>
      <c r="M1308">
        <v>22747</v>
      </c>
    </row>
    <row r="1309" spans="2:13" x14ac:dyDescent="0.55000000000000004">
      <c r="B1309" s="30">
        <v>43733</v>
      </c>
      <c r="C1309">
        <v>1331</v>
      </c>
      <c r="L1309" s="30">
        <v>44502</v>
      </c>
      <c r="M1309">
        <v>22748</v>
      </c>
    </row>
    <row r="1310" spans="2:13" x14ac:dyDescent="0.55000000000000004">
      <c r="B1310" s="30">
        <v>43732</v>
      </c>
      <c r="C1310">
        <v>1317</v>
      </c>
      <c r="L1310" s="30">
        <v>44501</v>
      </c>
      <c r="M1310">
        <v>22750</v>
      </c>
    </row>
    <row r="1311" spans="2:13" x14ac:dyDescent="0.55000000000000004">
      <c r="B1311" s="30">
        <v>43731</v>
      </c>
      <c r="C1311">
        <v>1316</v>
      </c>
      <c r="L1311" s="30">
        <v>44498</v>
      </c>
      <c r="M1311">
        <v>22750</v>
      </c>
    </row>
    <row r="1312" spans="2:13" x14ac:dyDescent="0.55000000000000004">
      <c r="B1312" s="30">
        <v>43728</v>
      </c>
      <c r="C1312">
        <v>1304</v>
      </c>
      <c r="L1312" s="30">
        <v>44497</v>
      </c>
      <c r="M1312">
        <v>22750</v>
      </c>
    </row>
    <row r="1313" spans="2:13" x14ac:dyDescent="0.55000000000000004">
      <c r="B1313" s="30">
        <v>43727</v>
      </c>
      <c r="C1313">
        <v>1300</v>
      </c>
      <c r="L1313" s="30">
        <v>44496</v>
      </c>
      <c r="M1313">
        <v>22755</v>
      </c>
    </row>
    <row r="1314" spans="2:13" x14ac:dyDescent="0.55000000000000004">
      <c r="B1314" s="30">
        <v>43726</v>
      </c>
      <c r="C1314">
        <v>1319</v>
      </c>
      <c r="L1314" s="30">
        <v>44495</v>
      </c>
      <c r="M1314">
        <v>22757</v>
      </c>
    </row>
    <row r="1315" spans="2:13" x14ac:dyDescent="0.55000000000000004">
      <c r="B1315" s="30">
        <v>43725</v>
      </c>
      <c r="C1315">
        <v>1313</v>
      </c>
      <c r="L1315" s="30">
        <v>44494</v>
      </c>
      <c r="M1315">
        <v>22745</v>
      </c>
    </row>
    <row r="1316" spans="2:13" x14ac:dyDescent="0.55000000000000004">
      <c r="B1316" s="30">
        <v>43724</v>
      </c>
      <c r="C1316">
        <v>1328</v>
      </c>
      <c r="L1316" s="30">
        <v>44491</v>
      </c>
      <c r="M1316">
        <v>22754</v>
      </c>
    </row>
    <row r="1317" spans="2:13" x14ac:dyDescent="0.55000000000000004">
      <c r="B1317" s="30">
        <v>43721</v>
      </c>
      <c r="C1317">
        <v>1318</v>
      </c>
      <c r="L1317" s="30">
        <v>44490</v>
      </c>
      <c r="M1317">
        <v>22750</v>
      </c>
    </row>
    <row r="1318" spans="2:13" x14ac:dyDescent="0.55000000000000004">
      <c r="B1318" s="30">
        <v>43720</v>
      </c>
      <c r="C1318">
        <v>1331</v>
      </c>
      <c r="L1318" s="30">
        <v>44489</v>
      </c>
      <c r="M1318">
        <v>22755</v>
      </c>
    </row>
    <row r="1319" spans="2:13" x14ac:dyDescent="0.55000000000000004">
      <c r="B1319" s="30">
        <v>43719</v>
      </c>
      <c r="C1319">
        <v>1338</v>
      </c>
      <c r="L1319" s="30">
        <v>44488</v>
      </c>
      <c r="M1319">
        <v>22755</v>
      </c>
    </row>
    <row r="1320" spans="2:13" x14ac:dyDescent="0.55000000000000004">
      <c r="B1320" s="30">
        <v>43718</v>
      </c>
      <c r="C1320">
        <v>1327</v>
      </c>
      <c r="L1320" s="30">
        <v>44487</v>
      </c>
      <c r="M1320">
        <v>22758</v>
      </c>
    </row>
    <row r="1321" spans="2:13" x14ac:dyDescent="0.55000000000000004">
      <c r="B1321" s="30">
        <v>43717</v>
      </c>
      <c r="C1321">
        <v>1304</v>
      </c>
      <c r="L1321" s="30">
        <v>44484</v>
      </c>
      <c r="M1321">
        <v>22758</v>
      </c>
    </row>
    <row r="1322" spans="2:13" x14ac:dyDescent="0.55000000000000004">
      <c r="B1322" s="30">
        <v>43714</v>
      </c>
      <c r="C1322">
        <v>1295</v>
      </c>
      <c r="L1322" s="30">
        <v>44483</v>
      </c>
      <c r="M1322">
        <v>22757</v>
      </c>
    </row>
    <row r="1323" spans="2:13" x14ac:dyDescent="0.55000000000000004">
      <c r="B1323" s="30">
        <v>43713</v>
      </c>
      <c r="C1323">
        <v>1272</v>
      </c>
      <c r="L1323" s="30">
        <v>44482</v>
      </c>
      <c r="M1323">
        <v>22757</v>
      </c>
    </row>
    <row r="1324" spans="2:13" x14ac:dyDescent="0.55000000000000004">
      <c r="B1324" s="30">
        <v>43712</v>
      </c>
      <c r="C1324">
        <v>1310</v>
      </c>
      <c r="L1324" s="30">
        <v>44481</v>
      </c>
      <c r="M1324">
        <v>22757</v>
      </c>
    </row>
    <row r="1325" spans="2:13" x14ac:dyDescent="0.55000000000000004">
      <c r="B1325" s="30">
        <v>43711</v>
      </c>
      <c r="C1325">
        <v>1304</v>
      </c>
      <c r="L1325" s="30">
        <v>44480</v>
      </c>
      <c r="M1325">
        <v>22750</v>
      </c>
    </row>
    <row r="1326" spans="2:13" x14ac:dyDescent="0.55000000000000004">
      <c r="B1326" s="30">
        <v>43710</v>
      </c>
      <c r="C1326">
        <v>1329</v>
      </c>
      <c r="L1326" s="30">
        <v>44477</v>
      </c>
      <c r="M1326">
        <v>22757</v>
      </c>
    </row>
    <row r="1327" spans="2:13" x14ac:dyDescent="0.55000000000000004">
      <c r="B1327" s="30">
        <v>43707</v>
      </c>
      <c r="C1327">
        <v>1334</v>
      </c>
      <c r="L1327" s="30">
        <v>44476</v>
      </c>
      <c r="M1327">
        <v>22750</v>
      </c>
    </row>
    <row r="1328" spans="2:13" x14ac:dyDescent="0.55000000000000004">
      <c r="B1328" s="30">
        <v>43706</v>
      </c>
      <c r="C1328">
        <v>1325</v>
      </c>
      <c r="L1328" s="30">
        <v>44475</v>
      </c>
      <c r="M1328">
        <v>22750</v>
      </c>
    </row>
    <row r="1329" spans="2:13" x14ac:dyDescent="0.55000000000000004">
      <c r="B1329" s="30">
        <v>43705</v>
      </c>
      <c r="C1329">
        <v>1351</v>
      </c>
      <c r="L1329" s="30">
        <v>44474</v>
      </c>
      <c r="M1329">
        <v>22754</v>
      </c>
    </row>
    <row r="1330" spans="2:13" x14ac:dyDescent="0.55000000000000004">
      <c r="B1330" s="30">
        <v>43704</v>
      </c>
      <c r="C1330">
        <v>1339</v>
      </c>
      <c r="L1330" s="30">
        <v>44473</v>
      </c>
      <c r="M1330">
        <v>22757</v>
      </c>
    </row>
    <row r="1331" spans="2:13" x14ac:dyDescent="0.55000000000000004">
      <c r="B1331" s="30">
        <v>43700</v>
      </c>
      <c r="C1331">
        <v>1314</v>
      </c>
      <c r="L1331" s="30">
        <v>44470</v>
      </c>
      <c r="M1331">
        <v>22757</v>
      </c>
    </row>
    <row r="1332" spans="2:13" x14ac:dyDescent="0.55000000000000004">
      <c r="B1332" s="30">
        <v>43699</v>
      </c>
      <c r="C1332">
        <v>1327</v>
      </c>
      <c r="L1332" s="30">
        <v>44469</v>
      </c>
      <c r="M1332">
        <v>22750</v>
      </c>
    </row>
    <row r="1333" spans="2:13" x14ac:dyDescent="0.55000000000000004">
      <c r="B1333" s="30">
        <v>43698</v>
      </c>
      <c r="C1333">
        <v>1328</v>
      </c>
      <c r="L1333" s="30">
        <v>44468</v>
      </c>
      <c r="M1333">
        <v>22753</v>
      </c>
    </row>
    <row r="1334" spans="2:13" x14ac:dyDescent="0.55000000000000004">
      <c r="B1334" s="30">
        <v>43697</v>
      </c>
      <c r="C1334">
        <v>1324</v>
      </c>
      <c r="L1334" s="30">
        <v>44467</v>
      </c>
      <c r="M1334">
        <v>22761</v>
      </c>
    </row>
    <row r="1335" spans="2:13" x14ac:dyDescent="0.55000000000000004">
      <c r="B1335" s="30">
        <v>43696</v>
      </c>
      <c r="C1335">
        <v>1319</v>
      </c>
      <c r="L1335" s="30">
        <v>44466</v>
      </c>
      <c r="M1335">
        <v>22766</v>
      </c>
    </row>
    <row r="1336" spans="2:13" x14ac:dyDescent="0.55000000000000004">
      <c r="B1336" s="30">
        <v>43693</v>
      </c>
      <c r="C1336">
        <v>1333</v>
      </c>
      <c r="L1336" s="30">
        <v>44463</v>
      </c>
      <c r="M1336">
        <v>22760</v>
      </c>
    </row>
    <row r="1337" spans="2:13" x14ac:dyDescent="0.55000000000000004">
      <c r="B1337" s="30">
        <v>43692</v>
      </c>
      <c r="C1337">
        <v>1354</v>
      </c>
      <c r="L1337" s="30">
        <v>44462</v>
      </c>
      <c r="M1337">
        <v>22762</v>
      </c>
    </row>
    <row r="1338" spans="2:13" x14ac:dyDescent="0.55000000000000004">
      <c r="B1338" s="30">
        <v>43691</v>
      </c>
      <c r="C1338">
        <v>1338</v>
      </c>
      <c r="L1338" s="30">
        <v>44461</v>
      </c>
      <c r="M1338">
        <v>22760</v>
      </c>
    </row>
    <row r="1339" spans="2:13" x14ac:dyDescent="0.55000000000000004">
      <c r="B1339" s="30">
        <v>43690</v>
      </c>
      <c r="C1339">
        <v>1332</v>
      </c>
      <c r="L1339" s="30">
        <v>44460</v>
      </c>
      <c r="M1339">
        <v>22755</v>
      </c>
    </row>
    <row r="1340" spans="2:13" x14ac:dyDescent="0.55000000000000004">
      <c r="B1340" s="30">
        <v>43689</v>
      </c>
      <c r="C1340">
        <v>1296</v>
      </c>
      <c r="L1340" s="30">
        <v>44459</v>
      </c>
      <c r="M1340">
        <v>22769</v>
      </c>
    </row>
    <row r="1341" spans="2:13" x14ac:dyDescent="0.55000000000000004">
      <c r="B1341" s="30">
        <v>43686</v>
      </c>
      <c r="C1341">
        <v>1321</v>
      </c>
      <c r="L1341" s="30">
        <v>44456</v>
      </c>
      <c r="M1341">
        <v>22770</v>
      </c>
    </row>
    <row r="1342" spans="2:13" x14ac:dyDescent="0.55000000000000004">
      <c r="B1342" s="30">
        <v>43685</v>
      </c>
      <c r="C1342">
        <v>1338</v>
      </c>
      <c r="L1342" s="30">
        <v>44455</v>
      </c>
      <c r="M1342">
        <v>22753</v>
      </c>
    </row>
    <row r="1343" spans="2:13" x14ac:dyDescent="0.55000000000000004">
      <c r="B1343" s="30">
        <v>43684</v>
      </c>
      <c r="C1343">
        <v>1328</v>
      </c>
      <c r="L1343" s="30">
        <v>44454</v>
      </c>
      <c r="M1343">
        <v>22758</v>
      </c>
    </row>
    <row r="1344" spans="2:13" x14ac:dyDescent="0.55000000000000004">
      <c r="B1344" s="30">
        <v>43683</v>
      </c>
      <c r="C1344">
        <v>1334</v>
      </c>
      <c r="L1344" s="30">
        <v>44453</v>
      </c>
      <c r="M1344">
        <v>22759</v>
      </c>
    </row>
    <row r="1345" spans="2:13" x14ac:dyDescent="0.55000000000000004">
      <c r="B1345" s="30">
        <v>43682</v>
      </c>
      <c r="C1345">
        <v>1323</v>
      </c>
      <c r="L1345" s="30">
        <v>44452</v>
      </c>
      <c r="M1345">
        <v>22759</v>
      </c>
    </row>
    <row r="1346" spans="2:13" x14ac:dyDescent="0.55000000000000004">
      <c r="B1346" s="30">
        <v>43679</v>
      </c>
      <c r="C1346">
        <v>1337</v>
      </c>
      <c r="L1346" s="30">
        <v>44449</v>
      </c>
      <c r="M1346">
        <v>22757</v>
      </c>
    </row>
    <row r="1347" spans="2:13" x14ac:dyDescent="0.55000000000000004">
      <c r="B1347" s="30">
        <v>43678</v>
      </c>
      <c r="C1347">
        <v>1335</v>
      </c>
      <c r="L1347" s="30">
        <v>44448</v>
      </c>
      <c r="M1347">
        <v>22765</v>
      </c>
    </row>
    <row r="1348" spans="2:13" x14ac:dyDescent="0.55000000000000004">
      <c r="B1348" s="30">
        <v>43677</v>
      </c>
      <c r="C1348">
        <v>1367</v>
      </c>
      <c r="L1348" s="30">
        <v>44447</v>
      </c>
      <c r="M1348">
        <v>22757</v>
      </c>
    </row>
    <row r="1349" spans="2:13" x14ac:dyDescent="0.55000000000000004">
      <c r="B1349" s="30">
        <v>43676</v>
      </c>
      <c r="C1349">
        <v>1382</v>
      </c>
      <c r="L1349" s="30">
        <v>44446</v>
      </c>
      <c r="M1349">
        <v>22758</v>
      </c>
    </row>
    <row r="1350" spans="2:13" x14ac:dyDescent="0.55000000000000004">
      <c r="B1350" s="30">
        <v>43675</v>
      </c>
      <c r="C1350">
        <v>1397</v>
      </c>
      <c r="L1350" s="30">
        <v>44445</v>
      </c>
      <c r="M1350">
        <v>22760</v>
      </c>
    </row>
    <row r="1351" spans="2:13" x14ac:dyDescent="0.55000000000000004">
      <c r="B1351" s="30">
        <v>43672</v>
      </c>
      <c r="C1351">
        <v>1373</v>
      </c>
      <c r="L1351" s="30">
        <v>44442</v>
      </c>
      <c r="M1351">
        <v>22760</v>
      </c>
    </row>
    <row r="1352" spans="2:13" x14ac:dyDescent="0.55000000000000004">
      <c r="B1352" s="30">
        <v>43671</v>
      </c>
      <c r="C1352">
        <v>1358</v>
      </c>
      <c r="L1352" s="30">
        <v>44441</v>
      </c>
      <c r="M1352">
        <v>22760</v>
      </c>
    </row>
    <row r="1353" spans="2:13" x14ac:dyDescent="0.55000000000000004">
      <c r="B1353" s="30">
        <v>43670</v>
      </c>
      <c r="C1353">
        <v>1360</v>
      </c>
      <c r="L1353" s="30">
        <v>44440</v>
      </c>
      <c r="M1353">
        <v>22760</v>
      </c>
    </row>
    <row r="1354" spans="2:13" x14ac:dyDescent="0.55000000000000004">
      <c r="B1354" s="30">
        <v>43669</v>
      </c>
      <c r="C1354">
        <v>1369</v>
      </c>
      <c r="L1354" s="30">
        <v>44439</v>
      </c>
      <c r="M1354">
        <v>22775</v>
      </c>
    </row>
    <row r="1355" spans="2:13" x14ac:dyDescent="0.55000000000000004">
      <c r="B1355" s="30">
        <v>43668</v>
      </c>
      <c r="C1355">
        <v>1393</v>
      </c>
      <c r="L1355" s="30">
        <v>44438</v>
      </c>
      <c r="M1355">
        <v>22775</v>
      </c>
    </row>
    <row r="1356" spans="2:13" x14ac:dyDescent="0.55000000000000004">
      <c r="B1356" s="30">
        <v>43665</v>
      </c>
      <c r="C1356">
        <v>1419</v>
      </c>
      <c r="L1356" s="30">
        <v>44435</v>
      </c>
      <c r="M1356">
        <v>22789</v>
      </c>
    </row>
    <row r="1357" spans="2:13" x14ac:dyDescent="0.55000000000000004">
      <c r="B1357" s="30">
        <v>43664</v>
      </c>
      <c r="C1357">
        <v>1427</v>
      </c>
      <c r="L1357" s="30">
        <v>44434</v>
      </c>
      <c r="M1357">
        <v>22785</v>
      </c>
    </row>
    <row r="1358" spans="2:13" x14ac:dyDescent="0.55000000000000004">
      <c r="B1358" s="30">
        <v>43663</v>
      </c>
      <c r="C1358">
        <v>1423</v>
      </c>
      <c r="L1358" s="30">
        <v>44433</v>
      </c>
      <c r="M1358">
        <v>22790</v>
      </c>
    </row>
    <row r="1359" spans="2:13" x14ac:dyDescent="0.55000000000000004">
      <c r="B1359" s="30">
        <v>43662</v>
      </c>
      <c r="C1359">
        <v>1401</v>
      </c>
      <c r="L1359" s="30">
        <v>44432</v>
      </c>
      <c r="M1359">
        <v>22820</v>
      </c>
    </row>
    <row r="1360" spans="2:13" x14ac:dyDescent="0.55000000000000004">
      <c r="B1360" s="30">
        <v>43661</v>
      </c>
      <c r="C1360">
        <v>1434</v>
      </c>
      <c r="L1360" s="30">
        <v>44431</v>
      </c>
      <c r="M1360">
        <v>22825</v>
      </c>
    </row>
    <row r="1361" spans="2:13" x14ac:dyDescent="0.55000000000000004">
      <c r="B1361" s="30">
        <v>43658</v>
      </c>
      <c r="C1361">
        <v>1424</v>
      </c>
      <c r="L1361" s="30">
        <v>44428</v>
      </c>
      <c r="M1361">
        <v>22820</v>
      </c>
    </row>
    <row r="1362" spans="2:13" x14ac:dyDescent="0.55000000000000004">
      <c r="B1362" s="30">
        <v>43657</v>
      </c>
      <c r="C1362">
        <v>1427</v>
      </c>
      <c r="L1362" s="30">
        <v>44427</v>
      </c>
      <c r="M1362">
        <v>22812</v>
      </c>
    </row>
    <row r="1363" spans="2:13" x14ac:dyDescent="0.55000000000000004">
      <c r="B1363" s="30">
        <v>43656</v>
      </c>
      <c r="C1363">
        <v>1430</v>
      </c>
      <c r="L1363" s="30">
        <v>44426</v>
      </c>
      <c r="M1363">
        <v>22807</v>
      </c>
    </row>
    <row r="1364" spans="2:13" x14ac:dyDescent="0.55000000000000004">
      <c r="B1364" s="30">
        <v>43655</v>
      </c>
      <c r="C1364">
        <v>1436</v>
      </c>
      <c r="L1364" s="30">
        <v>44425</v>
      </c>
      <c r="M1364">
        <v>22830</v>
      </c>
    </row>
    <row r="1365" spans="2:13" x14ac:dyDescent="0.55000000000000004">
      <c r="B1365" s="30">
        <v>43654</v>
      </c>
      <c r="C1365">
        <v>1426</v>
      </c>
      <c r="L1365" s="30">
        <v>44424</v>
      </c>
      <c r="M1365">
        <v>22830</v>
      </c>
    </row>
    <row r="1366" spans="2:13" x14ac:dyDescent="0.55000000000000004">
      <c r="B1366" s="30">
        <v>43651</v>
      </c>
      <c r="C1366">
        <v>1444</v>
      </c>
      <c r="L1366" s="30">
        <v>44421</v>
      </c>
      <c r="M1366">
        <v>22830</v>
      </c>
    </row>
    <row r="1367" spans="2:13" x14ac:dyDescent="0.55000000000000004">
      <c r="B1367" s="30">
        <v>43650</v>
      </c>
      <c r="C1367">
        <v>1474</v>
      </c>
      <c r="L1367" s="30">
        <v>44420</v>
      </c>
      <c r="M1367">
        <v>22805</v>
      </c>
    </row>
    <row r="1368" spans="2:13" x14ac:dyDescent="0.55000000000000004">
      <c r="B1368" s="30">
        <v>43649</v>
      </c>
      <c r="C1368">
        <v>1455</v>
      </c>
      <c r="L1368" s="30">
        <v>44419</v>
      </c>
      <c r="M1368">
        <v>22809</v>
      </c>
    </row>
    <row r="1369" spans="2:13" x14ac:dyDescent="0.55000000000000004">
      <c r="B1369" s="30">
        <v>43648</v>
      </c>
      <c r="C1369">
        <v>1444</v>
      </c>
      <c r="L1369" s="30">
        <v>44418</v>
      </c>
      <c r="M1369">
        <v>22887</v>
      </c>
    </row>
    <row r="1370" spans="2:13" x14ac:dyDescent="0.55000000000000004">
      <c r="B1370" s="30">
        <v>43647</v>
      </c>
      <c r="C1370">
        <v>1474</v>
      </c>
      <c r="L1370" s="30">
        <v>44417</v>
      </c>
      <c r="M1370">
        <v>22925</v>
      </c>
    </row>
    <row r="1371" spans="2:13" x14ac:dyDescent="0.55000000000000004">
      <c r="B1371" s="30">
        <v>43644</v>
      </c>
      <c r="C1371">
        <v>1451</v>
      </c>
      <c r="L1371" s="30">
        <v>44414</v>
      </c>
      <c r="M1371">
        <v>22927</v>
      </c>
    </row>
    <row r="1372" spans="2:13" x14ac:dyDescent="0.55000000000000004">
      <c r="B1372" s="30">
        <v>43643</v>
      </c>
      <c r="C1372">
        <v>1430</v>
      </c>
      <c r="L1372" s="30">
        <v>44413</v>
      </c>
      <c r="M1372">
        <v>22936</v>
      </c>
    </row>
    <row r="1373" spans="2:13" x14ac:dyDescent="0.55000000000000004">
      <c r="B1373" s="30">
        <v>43642</v>
      </c>
      <c r="C1373">
        <v>1434</v>
      </c>
      <c r="L1373" s="30">
        <v>44412</v>
      </c>
      <c r="M1373">
        <v>22945</v>
      </c>
    </row>
    <row r="1374" spans="2:13" x14ac:dyDescent="0.55000000000000004">
      <c r="B1374" s="30">
        <v>43641</v>
      </c>
      <c r="C1374">
        <v>1455</v>
      </c>
      <c r="L1374" s="30">
        <v>44411</v>
      </c>
      <c r="M1374">
        <v>22950</v>
      </c>
    </row>
    <row r="1375" spans="2:13" x14ac:dyDescent="0.55000000000000004">
      <c r="B1375" s="30">
        <v>43640</v>
      </c>
      <c r="C1375">
        <v>1422</v>
      </c>
      <c r="L1375" s="30">
        <v>44410</v>
      </c>
      <c r="M1375">
        <v>22950</v>
      </c>
    </row>
    <row r="1376" spans="2:13" x14ac:dyDescent="0.55000000000000004">
      <c r="B1376" s="30">
        <v>43637</v>
      </c>
      <c r="C1376">
        <v>1414</v>
      </c>
      <c r="L1376" s="30">
        <v>44407</v>
      </c>
      <c r="M1376">
        <v>22950</v>
      </c>
    </row>
    <row r="1377" spans="2:13" x14ac:dyDescent="0.55000000000000004">
      <c r="B1377" s="30">
        <v>43636</v>
      </c>
      <c r="C1377">
        <v>1419</v>
      </c>
      <c r="L1377" s="30">
        <v>44406</v>
      </c>
      <c r="M1377">
        <v>22965</v>
      </c>
    </row>
    <row r="1378" spans="2:13" x14ac:dyDescent="0.55000000000000004">
      <c r="B1378" s="30">
        <v>43635</v>
      </c>
      <c r="C1378">
        <v>1372</v>
      </c>
      <c r="L1378" s="30">
        <v>44405</v>
      </c>
      <c r="M1378">
        <v>22999</v>
      </c>
    </row>
    <row r="1379" spans="2:13" x14ac:dyDescent="0.55000000000000004">
      <c r="B1379" s="30">
        <v>43634</v>
      </c>
      <c r="C1379">
        <v>1372</v>
      </c>
      <c r="L1379" s="30">
        <v>44404</v>
      </c>
      <c r="M1379">
        <v>23005</v>
      </c>
    </row>
    <row r="1380" spans="2:13" x14ac:dyDescent="0.55000000000000004">
      <c r="B1380" s="30">
        <v>43633</v>
      </c>
      <c r="C1380">
        <v>1386</v>
      </c>
      <c r="L1380" s="30">
        <v>44403</v>
      </c>
      <c r="M1380">
        <v>23008</v>
      </c>
    </row>
    <row r="1381" spans="2:13" x14ac:dyDescent="0.55000000000000004">
      <c r="B1381" s="30">
        <v>43630</v>
      </c>
      <c r="C1381">
        <v>1392</v>
      </c>
      <c r="L1381" s="30">
        <v>44400</v>
      </c>
      <c r="M1381">
        <v>23005</v>
      </c>
    </row>
    <row r="1382" spans="2:13" x14ac:dyDescent="0.55000000000000004">
      <c r="B1382" s="30">
        <v>43629</v>
      </c>
      <c r="C1382">
        <v>1414</v>
      </c>
      <c r="L1382" s="30">
        <v>44399</v>
      </c>
      <c r="M1382">
        <v>23010</v>
      </c>
    </row>
    <row r="1383" spans="2:13" x14ac:dyDescent="0.55000000000000004">
      <c r="B1383" s="30">
        <v>43628</v>
      </c>
      <c r="C1383">
        <v>1429</v>
      </c>
      <c r="L1383" s="30">
        <v>44398</v>
      </c>
      <c r="M1383">
        <v>23022</v>
      </c>
    </row>
    <row r="1384" spans="2:13" x14ac:dyDescent="0.55000000000000004">
      <c r="B1384" s="30">
        <v>43627</v>
      </c>
      <c r="C1384">
        <v>1415</v>
      </c>
      <c r="L1384" s="30">
        <v>44397</v>
      </c>
      <c r="M1384">
        <v>23026</v>
      </c>
    </row>
    <row r="1385" spans="2:13" x14ac:dyDescent="0.55000000000000004">
      <c r="B1385" s="30">
        <v>43626</v>
      </c>
      <c r="C1385">
        <v>1441</v>
      </c>
      <c r="L1385" s="30">
        <v>44396</v>
      </c>
      <c r="M1385">
        <v>23020</v>
      </c>
    </row>
    <row r="1386" spans="2:13" x14ac:dyDescent="0.55000000000000004">
      <c r="B1386" s="30">
        <v>43623</v>
      </c>
      <c r="C1386">
        <v>1455</v>
      </c>
      <c r="L1386" s="30">
        <v>44393</v>
      </c>
      <c r="M1386">
        <v>23011</v>
      </c>
    </row>
    <row r="1387" spans="2:13" x14ac:dyDescent="0.55000000000000004">
      <c r="B1387" s="30">
        <v>43622</v>
      </c>
      <c r="C1387">
        <v>1455</v>
      </c>
      <c r="L1387" s="30">
        <v>44392</v>
      </c>
      <c r="M1387">
        <v>23009</v>
      </c>
    </row>
    <row r="1388" spans="2:13" x14ac:dyDescent="0.55000000000000004">
      <c r="B1388" s="30">
        <v>43621</v>
      </c>
      <c r="C1388">
        <v>1437</v>
      </c>
      <c r="L1388" s="30">
        <v>44391</v>
      </c>
      <c r="M1388">
        <v>23011</v>
      </c>
    </row>
    <row r="1389" spans="2:13" x14ac:dyDescent="0.55000000000000004">
      <c r="B1389" s="30">
        <v>43620</v>
      </c>
      <c r="C1389">
        <v>1504</v>
      </c>
      <c r="L1389" s="30">
        <v>44390</v>
      </c>
      <c r="M1389">
        <v>23010</v>
      </c>
    </row>
    <row r="1390" spans="2:13" x14ac:dyDescent="0.55000000000000004">
      <c r="B1390" s="30">
        <v>43619</v>
      </c>
      <c r="C1390">
        <v>1500</v>
      </c>
      <c r="L1390" s="30">
        <v>44389</v>
      </c>
      <c r="M1390">
        <v>23020</v>
      </c>
    </row>
    <row r="1391" spans="2:13" x14ac:dyDescent="0.55000000000000004">
      <c r="B1391" s="30">
        <v>43616</v>
      </c>
      <c r="C1391">
        <v>1498</v>
      </c>
      <c r="L1391" s="30">
        <v>44386</v>
      </c>
      <c r="M1391">
        <v>23000</v>
      </c>
    </row>
    <row r="1392" spans="2:13" x14ac:dyDescent="0.55000000000000004">
      <c r="B1392" s="30">
        <v>43615</v>
      </c>
      <c r="C1392">
        <v>1474</v>
      </c>
      <c r="L1392" s="30">
        <v>44385</v>
      </c>
      <c r="M1392">
        <v>23007</v>
      </c>
    </row>
    <row r="1393" spans="2:13" x14ac:dyDescent="0.55000000000000004">
      <c r="B1393" s="30">
        <v>43614</v>
      </c>
      <c r="C1393">
        <v>1430</v>
      </c>
      <c r="L1393" s="30">
        <v>44384</v>
      </c>
      <c r="M1393">
        <v>23015</v>
      </c>
    </row>
    <row r="1394" spans="2:13" x14ac:dyDescent="0.55000000000000004">
      <c r="B1394" s="30">
        <v>43613</v>
      </c>
      <c r="C1394">
        <v>1392</v>
      </c>
      <c r="L1394" s="30">
        <v>44383</v>
      </c>
      <c r="M1394">
        <v>23007</v>
      </c>
    </row>
    <row r="1395" spans="2:13" x14ac:dyDescent="0.55000000000000004">
      <c r="B1395" s="30">
        <v>43609</v>
      </c>
      <c r="C1395">
        <v>1368</v>
      </c>
      <c r="L1395" s="30">
        <v>44382</v>
      </c>
      <c r="M1395">
        <v>22996</v>
      </c>
    </row>
    <row r="1396" spans="2:13" x14ac:dyDescent="0.55000000000000004">
      <c r="B1396" s="30">
        <v>43608</v>
      </c>
      <c r="C1396">
        <v>1369</v>
      </c>
      <c r="L1396" s="30">
        <v>44379</v>
      </c>
      <c r="M1396">
        <v>22998</v>
      </c>
    </row>
    <row r="1397" spans="2:13" x14ac:dyDescent="0.55000000000000004">
      <c r="B1397" s="30">
        <v>43607</v>
      </c>
      <c r="C1397">
        <v>1361</v>
      </c>
      <c r="L1397" s="30">
        <v>44378</v>
      </c>
      <c r="M1397">
        <v>23010</v>
      </c>
    </row>
    <row r="1398" spans="2:13" x14ac:dyDescent="0.55000000000000004">
      <c r="B1398" s="30">
        <v>43606</v>
      </c>
      <c r="C1398">
        <v>1364</v>
      </c>
      <c r="L1398" s="30">
        <v>44377</v>
      </c>
      <c r="M1398">
        <v>23014</v>
      </c>
    </row>
    <row r="1399" spans="2:13" x14ac:dyDescent="0.55000000000000004">
      <c r="B1399" s="30">
        <v>43605</v>
      </c>
      <c r="C1399">
        <v>1334</v>
      </c>
      <c r="L1399" s="30">
        <v>44376</v>
      </c>
      <c r="M1399">
        <v>23020</v>
      </c>
    </row>
    <row r="1400" spans="2:13" x14ac:dyDescent="0.55000000000000004">
      <c r="B1400" s="30">
        <v>43602</v>
      </c>
      <c r="C1400">
        <v>1301</v>
      </c>
      <c r="L1400" s="30">
        <v>44375</v>
      </c>
      <c r="M1400">
        <v>23020</v>
      </c>
    </row>
    <row r="1401" spans="2:13" x14ac:dyDescent="0.55000000000000004">
      <c r="B1401" s="30">
        <v>43601</v>
      </c>
      <c r="C1401">
        <v>1335</v>
      </c>
      <c r="L1401" s="30">
        <v>44372</v>
      </c>
      <c r="M1401">
        <v>23020</v>
      </c>
    </row>
    <row r="1402" spans="2:13" x14ac:dyDescent="0.55000000000000004">
      <c r="B1402" s="30">
        <v>43600</v>
      </c>
      <c r="C1402">
        <v>1375</v>
      </c>
      <c r="L1402" s="30">
        <v>44371</v>
      </c>
      <c r="M1402">
        <v>23003</v>
      </c>
    </row>
    <row r="1403" spans="2:13" x14ac:dyDescent="0.55000000000000004">
      <c r="B1403" s="30">
        <v>43599</v>
      </c>
      <c r="C1403">
        <v>1392</v>
      </c>
      <c r="L1403" s="30">
        <v>44370</v>
      </c>
      <c r="M1403">
        <v>23020</v>
      </c>
    </row>
    <row r="1404" spans="2:13" x14ac:dyDescent="0.55000000000000004">
      <c r="B1404" s="30">
        <v>43598</v>
      </c>
      <c r="C1404">
        <v>1346</v>
      </c>
      <c r="L1404" s="30">
        <v>44369</v>
      </c>
      <c r="M1404">
        <v>23025</v>
      </c>
    </row>
    <row r="1405" spans="2:13" x14ac:dyDescent="0.55000000000000004">
      <c r="B1405" s="30">
        <v>43595</v>
      </c>
      <c r="C1405">
        <v>1364</v>
      </c>
      <c r="L1405" s="30">
        <v>44368</v>
      </c>
      <c r="M1405">
        <v>23014</v>
      </c>
    </row>
    <row r="1406" spans="2:13" x14ac:dyDescent="0.55000000000000004">
      <c r="B1406" s="30">
        <v>43594</v>
      </c>
      <c r="C1406">
        <v>1345</v>
      </c>
      <c r="L1406" s="30">
        <v>44365</v>
      </c>
      <c r="M1406">
        <v>22995</v>
      </c>
    </row>
    <row r="1407" spans="2:13" x14ac:dyDescent="0.55000000000000004">
      <c r="B1407" s="30">
        <v>43593</v>
      </c>
      <c r="C1407">
        <v>1290</v>
      </c>
      <c r="L1407" s="30">
        <v>44364</v>
      </c>
      <c r="M1407">
        <v>22960</v>
      </c>
    </row>
    <row r="1408" spans="2:13" x14ac:dyDescent="0.55000000000000004">
      <c r="B1408" s="30">
        <v>43592</v>
      </c>
      <c r="C1408">
        <v>1295</v>
      </c>
      <c r="L1408" s="30">
        <v>44363</v>
      </c>
      <c r="M1408">
        <v>22946</v>
      </c>
    </row>
    <row r="1409" spans="2:13" x14ac:dyDescent="0.55000000000000004">
      <c r="B1409" s="30">
        <v>43588</v>
      </c>
      <c r="C1409">
        <v>1345</v>
      </c>
      <c r="L1409" s="30">
        <v>44362</v>
      </c>
      <c r="M1409">
        <v>22947</v>
      </c>
    </row>
    <row r="1410" spans="2:13" x14ac:dyDescent="0.55000000000000004">
      <c r="B1410" s="30">
        <v>43587</v>
      </c>
      <c r="C1410">
        <v>1364</v>
      </c>
      <c r="L1410" s="30">
        <v>44361</v>
      </c>
      <c r="M1410">
        <v>22944</v>
      </c>
    </row>
    <row r="1411" spans="2:13" x14ac:dyDescent="0.55000000000000004">
      <c r="B1411" s="30">
        <v>43586</v>
      </c>
      <c r="C1411">
        <v>1376</v>
      </c>
      <c r="L1411" s="30">
        <v>44358</v>
      </c>
      <c r="M1411">
        <v>22945</v>
      </c>
    </row>
    <row r="1412" spans="2:13" x14ac:dyDescent="0.55000000000000004">
      <c r="B1412" s="30">
        <v>43585</v>
      </c>
      <c r="C1412">
        <v>1407</v>
      </c>
      <c r="L1412" s="30">
        <v>44357</v>
      </c>
      <c r="M1412">
        <v>22947</v>
      </c>
    </row>
    <row r="1413" spans="2:13" x14ac:dyDescent="0.55000000000000004">
      <c r="B1413" s="30">
        <v>43584</v>
      </c>
      <c r="C1413">
        <v>1403</v>
      </c>
      <c r="L1413" s="30">
        <v>44356</v>
      </c>
      <c r="M1413">
        <v>22955</v>
      </c>
    </row>
    <row r="1414" spans="2:13" x14ac:dyDescent="0.55000000000000004">
      <c r="B1414" s="30">
        <v>43581</v>
      </c>
      <c r="C1414">
        <v>1410</v>
      </c>
      <c r="L1414" s="30">
        <v>44355</v>
      </c>
      <c r="M1414">
        <v>22952</v>
      </c>
    </row>
    <row r="1415" spans="2:13" x14ac:dyDescent="0.55000000000000004">
      <c r="B1415" s="30">
        <v>43580</v>
      </c>
      <c r="C1415">
        <v>1390</v>
      </c>
      <c r="L1415" s="30">
        <v>44354</v>
      </c>
      <c r="M1415">
        <v>23000</v>
      </c>
    </row>
    <row r="1416" spans="2:13" x14ac:dyDescent="0.55000000000000004">
      <c r="B1416" s="30">
        <v>43579</v>
      </c>
      <c r="C1416">
        <v>1391</v>
      </c>
      <c r="L1416" s="30">
        <v>44351</v>
      </c>
      <c r="M1416">
        <v>23044</v>
      </c>
    </row>
    <row r="1417" spans="2:13" x14ac:dyDescent="0.55000000000000004">
      <c r="B1417" s="30">
        <v>43578</v>
      </c>
      <c r="C1417">
        <v>1399</v>
      </c>
      <c r="L1417" s="30">
        <v>44350</v>
      </c>
      <c r="M1417">
        <v>23041</v>
      </c>
    </row>
    <row r="1418" spans="2:13" x14ac:dyDescent="0.55000000000000004">
      <c r="B1418" s="30">
        <v>43573</v>
      </c>
      <c r="C1418">
        <v>1416</v>
      </c>
      <c r="L1418" s="30">
        <v>44349</v>
      </c>
      <c r="M1418">
        <v>23040</v>
      </c>
    </row>
    <row r="1419" spans="2:13" x14ac:dyDescent="0.55000000000000004">
      <c r="B1419" s="30">
        <v>43572</v>
      </c>
      <c r="C1419">
        <v>1412</v>
      </c>
      <c r="L1419" s="30">
        <v>44348</v>
      </c>
      <c r="M1419">
        <v>23044</v>
      </c>
    </row>
    <row r="1420" spans="2:13" x14ac:dyDescent="0.55000000000000004">
      <c r="B1420" s="30">
        <v>43571</v>
      </c>
      <c r="C1420">
        <v>1431</v>
      </c>
      <c r="L1420" s="30">
        <v>44347</v>
      </c>
      <c r="M1420">
        <v>23040</v>
      </c>
    </row>
    <row r="1421" spans="2:13" x14ac:dyDescent="0.55000000000000004">
      <c r="B1421" s="30">
        <v>43570</v>
      </c>
      <c r="C1421">
        <v>1438</v>
      </c>
      <c r="L1421" s="30">
        <v>44344</v>
      </c>
      <c r="M1421">
        <v>23045</v>
      </c>
    </row>
    <row r="1422" spans="2:13" x14ac:dyDescent="0.55000000000000004">
      <c r="B1422" s="30">
        <v>43567</v>
      </c>
      <c r="C1422">
        <v>1418</v>
      </c>
      <c r="L1422" s="30">
        <v>44343</v>
      </c>
      <c r="M1422">
        <v>23045</v>
      </c>
    </row>
    <row r="1423" spans="2:13" x14ac:dyDescent="0.55000000000000004">
      <c r="B1423" s="30">
        <v>43566</v>
      </c>
      <c r="C1423">
        <v>1421</v>
      </c>
      <c r="L1423" s="30">
        <v>44342</v>
      </c>
      <c r="M1423">
        <v>23055</v>
      </c>
    </row>
    <row r="1424" spans="2:13" x14ac:dyDescent="0.55000000000000004">
      <c r="B1424" s="30">
        <v>43565</v>
      </c>
      <c r="C1424">
        <v>1452</v>
      </c>
      <c r="L1424" s="30">
        <v>44341</v>
      </c>
      <c r="M1424">
        <v>23060</v>
      </c>
    </row>
    <row r="1425" spans="2:13" x14ac:dyDescent="0.55000000000000004">
      <c r="B1425" s="30">
        <v>43564</v>
      </c>
      <c r="C1425">
        <v>1442</v>
      </c>
      <c r="L1425" s="30">
        <v>44340</v>
      </c>
      <c r="M1425">
        <v>23056</v>
      </c>
    </row>
    <row r="1426" spans="2:13" x14ac:dyDescent="0.55000000000000004">
      <c r="B1426" s="30">
        <v>43563</v>
      </c>
      <c r="C1426">
        <v>1442</v>
      </c>
      <c r="L1426" s="30">
        <v>44337</v>
      </c>
      <c r="M1426">
        <v>23054</v>
      </c>
    </row>
    <row r="1427" spans="2:13" x14ac:dyDescent="0.55000000000000004">
      <c r="B1427" s="30">
        <v>43560</v>
      </c>
      <c r="C1427">
        <v>1437</v>
      </c>
      <c r="L1427" s="30">
        <v>44336</v>
      </c>
      <c r="M1427">
        <v>23045</v>
      </c>
    </row>
    <row r="1428" spans="2:13" x14ac:dyDescent="0.55000000000000004">
      <c r="B1428" s="30">
        <v>43559</v>
      </c>
      <c r="C1428">
        <v>1465</v>
      </c>
      <c r="L1428" s="30">
        <v>44335</v>
      </c>
      <c r="M1428">
        <v>23045</v>
      </c>
    </row>
    <row r="1429" spans="2:13" x14ac:dyDescent="0.55000000000000004">
      <c r="B1429" s="30">
        <v>43558</v>
      </c>
      <c r="C1429">
        <v>1472</v>
      </c>
      <c r="L1429" s="30">
        <v>44334</v>
      </c>
      <c r="M1429">
        <v>23040</v>
      </c>
    </row>
    <row r="1430" spans="2:13" x14ac:dyDescent="0.55000000000000004">
      <c r="B1430" s="30">
        <v>43557</v>
      </c>
      <c r="C1430">
        <v>1429</v>
      </c>
      <c r="L1430" s="30">
        <v>44333</v>
      </c>
      <c r="M1430">
        <v>23046</v>
      </c>
    </row>
    <row r="1431" spans="2:13" x14ac:dyDescent="0.55000000000000004">
      <c r="B1431" s="30">
        <v>43556</v>
      </c>
      <c r="C1431">
        <v>1437</v>
      </c>
      <c r="L1431" s="30">
        <v>44330</v>
      </c>
      <c r="M1431">
        <v>23048</v>
      </c>
    </row>
    <row r="1432" spans="2:13" x14ac:dyDescent="0.55000000000000004">
      <c r="B1432" s="30">
        <v>43553</v>
      </c>
      <c r="C1432">
        <v>1471</v>
      </c>
      <c r="L1432" s="30">
        <v>44329</v>
      </c>
      <c r="M1432">
        <v>23040</v>
      </c>
    </row>
    <row r="1433" spans="2:13" x14ac:dyDescent="0.55000000000000004">
      <c r="B1433" s="30">
        <v>43552</v>
      </c>
      <c r="C1433">
        <v>1492</v>
      </c>
      <c r="L1433" s="30">
        <v>44328</v>
      </c>
      <c r="M1433">
        <v>23053</v>
      </c>
    </row>
    <row r="1434" spans="2:13" x14ac:dyDescent="0.55000000000000004">
      <c r="B1434" s="30">
        <v>43551</v>
      </c>
      <c r="C1434">
        <v>1503</v>
      </c>
      <c r="L1434" s="30">
        <v>44327</v>
      </c>
      <c r="M1434">
        <v>23055</v>
      </c>
    </row>
    <row r="1435" spans="2:13" x14ac:dyDescent="0.55000000000000004">
      <c r="B1435" s="30">
        <v>43550</v>
      </c>
      <c r="C1435">
        <v>1512</v>
      </c>
      <c r="L1435" s="30">
        <v>44326</v>
      </c>
      <c r="M1435">
        <v>23060</v>
      </c>
    </row>
    <row r="1436" spans="2:13" x14ac:dyDescent="0.55000000000000004">
      <c r="B1436" s="30">
        <v>43549</v>
      </c>
      <c r="C1436">
        <v>1499</v>
      </c>
      <c r="L1436" s="30">
        <v>44323</v>
      </c>
      <c r="M1436">
        <v>23060</v>
      </c>
    </row>
    <row r="1437" spans="2:13" x14ac:dyDescent="0.55000000000000004">
      <c r="B1437" s="30">
        <v>43546</v>
      </c>
      <c r="C1437">
        <v>1494</v>
      </c>
      <c r="L1437" s="30">
        <v>44322</v>
      </c>
      <c r="M1437">
        <v>23067</v>
      </c>
    </row>
    <row r="1438" spans="2:13" x14ac:dyDescent="0.55000000000000004">
      <c r="B1438" s="30">
        <v>43545</v>
      </c>
      <c r="C1438">
        <v>1503</v>
      </c>
      <c r="L1438" s="30">
        <v>44321</v>
      </c>
      <c r="M1438">
        <v>23060</v>
      </c>
    </row>
    <row r="1439" spans="2:13" x14ac:dyDescent="0.55000000000000004">
      <c r="B1439" s="30">
        <v>43544</v>
      </c>
      <c r="C1439">
        <v>1495</v>
      </c>
      <c r="L1439" s="30">
        <v>44320</v>
      </c>
      <c r="M1439">
        <v>23050</v>
      </c>
    </row>
    <row r="1440" spans="2:13" x14ac:dyDescent="0.55000000000000004">
      <c r="B1440" s="30">
        <v>43543</v>
      </c>
      <c r="C1440">
        <v>1508</v>
      </c>
      <c r="L1440" s="30">
        <v>44319</v>
      </c>
      <c r="M1440">
        <v>23054</v>
      </c>
    </row>
    <row r="1441" spans="2:13" x14ac:dyDescent="0.55000000000000004">
      <c r="B1441" s="30">
        <v>43542</v>
      </c>
      <c r="C1441">
        <v>1485</v>
      </c>
      <c r="L1441" s="30">
        <v>44316</v>
      </c>
      <c r="M1441">
        <v>23054</v>
      </c>
    </row>
    <row r="1442" spans="2:13" x14ac:dyDescent="0.55000000000000004">
      <c r="B1442" s="30">
        <v>43539</v>
      </c>
      <c r="C1442">
        <v>1485</v>
      </c>
      <c r="L1442" s="30">
        <v>44315</v>
      </c>
      <c r="M1442">
        <v>23054</v>
      </c>
    </row>
    <row r="1443" spans="2:13" x14ac:dyDescent="0.55000000000000004">
      <c r="B1443" s="30">
        <v>43538</v>
      </c>
      <c r="C1443">
        <v>1490</v>
      </c>
      <c r="L1443" s="30">
        <v>44314</v>
      </c>
      <c r="M1443">
        <v>23047</v>
      </c>
    </row>
    <row r="1444" spans="2:13" x14ac:dyDescent="0.55000000000000004">
      <c r="B1444" s="30">
        <v>43537</v>
      </c>
      <c r="C1444">
        <v>1518</v>
      </c>
      <c r="L1444" s="30">
        <v>44313</v>
      </c>
      <c r="M1444">
        <v>23042</v>
      </c>
    </row>
    <row r="1445" spans="2:13" x14ac:dyDescent="0.55000000000000004">
      <c r="B1445" s="30">
        <v>43536</v>
      </c>
      <c r="C1445">
        <v>1525</v>
      </c>
      <c r="L1445" s="30">
        <v>44312</v>
      </c>
      <c r="M1445">
        <v>23040</v>
      </c>
    </row>
    <row r="1446" spans="2:13" x14ac:dyDescent="0.55000000000000004">
      <c r="B1446" s="30">
        <v>43535</v>
      </c>
      <c r="C1446">
        <v>1532</v>
      </c>
      <c r="L1446" s="30">
        <v>44309</v>
      </c>
      <c r="M1446">
        <v>23070</v>
      </c>
    </row>
    <row r="1447" spans="2:13" x14ac:dyDescent="0.55000000000000004">
      <c r="B1447" s="30">
        <v>43532</v>
      </c>
      <c r="C1447">
        <v>1530</v>
      </c>
      <c r="L1447" s="30">
        <v>44308</v>
      </c>
      <c r="M1447">
        <v>23070</v>
      </c>
    </row>
    <row r="1448" spans="2:13" x14ac:dyDescent="0.55000000000000004">
      <c r="B1448" s="30">
        <v>43531</v>
      </c>
      <c r="C1448">
        <v>1505</v>
      </c>
      <c r="L1448" s="30">
        <v>44307</v>
      </c>
      <c r="M1448">
        <v>23074</v>
      </c>
    </row>
    <row r="1449" spans="2:13" x14ac:dyDescent="0.55000000000000004">
      <c r="B1449" s="30">
        <v>43530</v>
      </c>
      <c r="C1449">
        <v>1532</v>
      </c>
      <c r="L1449" s="30">
        <v>44306</v>
      </c>
      <c r="M1449">
        <v>23074</v>
      </c>
    </row>
    <row r="1450" spans="2:13" x14ac:dyDescent="0.55000000000000004">
      <c r="B1450" s="30">
        <v>43529</v>
      </c>
      <c r="C1450">
        <v>1527</v>
      </c>
      <c r="L1450" s="30">
        <v>44305</v>
      </c>
      <c r="M1450">
        <v>23073</v>
      </c>
    </row>
    <row r="1451" spans="2:13" x14ac:dyDescent="0.55000000000000004">
      <c r="B1451" s="30">
        <v>43528</v>
      </c>
      <c r="C1451">
        <v>1521</v>
      </c>
      <c r="L1451" s="30">
        <v>44302</v>
      </c>
      <c r="M1451">
        <v>23067</v>
      </c>
    </row>
    <row r="1452" spans="2:13" x14ac:dyDescent="0.55000000000000004">
      <c r="B1452" s="30">
        <v>43525</v>
      </c>
      <c r="C1452">
        <v>1534</v>
      </c>
      <c r="L1452" s="30">
        <v>44301</v>
      </c>
      <c r="M1452">
        <v>23073</v>
      </c>
    </row>
    <row r="1453" spans="2:13" x14ac:dyDescent="0.55000000000000004">
      <c r="B1453" s="30">
        <v>43524</v>
      </c>
      <c r="C1453">
        <v>1537</v>
      </c>
      <c r="L1453" s="30">
        <v>44300</v>
      </c>
      <c r="M1453">
        <v>23078</v>
      </c>
    </row>
    <row r="1454" spans="2:13" x14ac:dyDescent="0.55000000000000004">
      <c r="B1454" s="30">
        <v>43523</v>
      </c>
      <c r="C1454">
        <v>1548</v>
      </c>
      <c r="L1454" s="30">
        <v>44299</v>
      </c>
      <c r="M1454">
        <v>23069</v>
      </c>
    </row>
    <row r="1455" spans="2:13" x14ac:dyDescent="0.55000000000000004">
      <c r="B1455" s="30">
        <v>43522</v>
      </c>
      <c r="C1455">
        <v>1538</v>
      </c>
      <c r="L1455" s="30">
        <v>44298</v>
      </c>
      <c r="M1455">
        <v>23067</v>
      </c>
    </row>
    <row r="1456" spans="2:13" x14ac:dyDescent="0.55000000000000004">
      <c r="B1456" s="30">
        <v>43521</v>
      </c>
      <c r="C1456">
        <v>1550</v>
      </c>
      <c r="L1456" s="30">
        <v>44295</v>
      </c>
      <c r="M1456">
        <v>23065</v>
      </c>
    </row>
    <row r="1457" spans="2:13" x14ac:dyDescent="0.55000000000000004">
      <c r="B1457" s="30">
        <v>43518</v>
      </c>
      <c r="C1457">
        <v>1539</v>
      </c>
      <c r="L1457" s="30">
        <v>44294</v>
      </c>
      <c r="M1457">
        <v>23085</v>
      </c>
    </row>
    <row r="1458" spans="2:13" x14ac:dyDescent="0.55000000000000004">
      <c r="B1458" s="30">
        <v>43517</v>
      </c>
      <c r="C1458">
        <v>1533</v>
      </c>
      <c r="L1458" s="30">
        <v>44293</v>
      </c>
      <c r="M1458">
        <v>23090</v>
      </c>
    </row>
    <row r="1459" spans="2:13" x14ac:dyDescent="0.55000000000000004">
      <c r="B1459" s="30">
        <v>43516</v>
      </c>
      <c r="C1459">
        <v>1544</v>
      </c>
      <c r="L1459" s="30">
        <v>44292</v>
      </c>
      <c r="M1459">
        <v>23090</v>
      </c>
    </row>
    <row r="1460" spans="2:13" x14ac:dyDescent="0.55000000000000004">
      <c r="B1460" s="30">
        <v>43515</v>
      </c>
      <c r="C1460">
        <v>1538</v>
      </c>
      <c r="L1460" s="30">
        <v>44291</v>
      </c>
      <c r="M1460">
        <v>23079</v>
      </c>
    </row>
    <row r="1461" spans="2:13" x14ac:dyDescent="0.55000000000000004">
      <c r="B1461" s="30">
        <v>43514</v>
      </c>
      <c r="C1461">
        <v>1555</v>
      </c>
      <c r="L1461" s="30">
        <v>44288</v>
      </c>
      <c r="M1461">
        <v>23073</v>
      </c>
    </row>
    <row r="1462" spans="2:13" x14ac:dyDescent="0.55000000000000004">
      <c r="B1462" s="30">
        <v>43511</v>
      </c>
      <c r="C1462">
        <v>1555</v>
      </c>
      <c r="L1462" s="30">
        <v>44287</v>
      </c>
      <c r="M1462">
        <v>23065</v>
      </c>
    </row>
    <row r="1463" spans="2:13" x14ac:dyDescent="0.55000000000000004">
      <c r="B1463" s="30">
        <v>43510</v>
      </c>
      <c r="C1463">
        <v>1537</v>
      </c>
      <c r="L1463" s="30">
        <v>44286</v>
      </c>
      <c r="M1463">
        <v>23074</v>
      </c>
    </row>
    <row r="1464" spans="2:13" x14ac:dyDescent="0.55000000000000004">
      <c r="B1464" s="30">
        <v>43509</v>
      </c>
      <c r="C1464">
        <v>1534</v>
      </c>
      <c r="L1464" s="30">
        <v>44285</v>
      </c>
      <c r="M1464">
        <v>23070</v>
      </c>
    </row>
    <row r="1465" spans="2:13" x14ac:dyDescent="0.55000000000000004">
      <c r="B1465" s="30">
        <v>43508</v>
      </c>
      <c r="C1465">
        <v>1535</v>
      </c>
      <c r="L1465" s="30">
        <v>44284</v>
      </c>
      <c r="M1465">
        <v>23070</v>
      </c>
    </row>
    <row r="1466" spans="2:13" x14ac:dyDescent="0.55000000000000004">
      <c r="B1466" s="30">
        <v>43507</v>
      </c>
      <c r="C1466">
        <v>1528</v>
      </c>
      <c r="L1466" s="30">
        <v>44281</v>
      </c>
      <c r="M1466">
        <v>23084</v>
      </c>
    </row>
    <row r="1467" spans="2:13" x14ac:dyDescent="0.55000000000000004">
      <c r="B1467" s="30">
        <v>43504</v>
      </c>
      <c r="C1467">
        <v>1550</v>
      </c>
      <c r="L1467" s="30">
        <v>44280</v>
      </c>
      <c r="M1467">
        <v>23084</v>
      </c>
    </row>
    <row r="1468" spans="2:13" x14ac:dyDescent="0.55000000000000004">
      <c r="B1468" s="30">
        <v>43503</v>
      </c>
      <c r="C1468">
        <v>1566</v>
      </c>
      <c r="L1468" s="30">
        <v>44279</v>
      </c>
      <c r="M1468">
        <v>23080</v>
      </c>
    </row>
    <row r="1469" spans="2:13" x14ac:dyDescent="0.55000000000000004">
      <c r="B1469" s="30">
        <v>43502</v>
      </c>
      <c r="C1469">
        <v>1573</v>
      </c>
      <c r="L1469" s="30">
        <v>44278</v>
      </c>
      <c r="M1469">
        <v>23070</v>
      </c>
    </row>
    <row r="1470" spans="2:13" x14ac:dyDescent="0.55000000000000004">
      <c r="B1470" s="30">
        <v>43501</v>
      </c>
      <c r="C1470">
        <v>1557</v>
      </c>
      <c r="L1470" s="30">
        <v>44277</v>
      </c>
      <c r="M1470">
        <v>23076</v>
      </c>
    </row>
    <row r="1471" spans="2:13" x14ac:dyDescent="0.55000000000000004">
      <c r="B1471" s="30">
        <v>43500</v>
      </c>
      <c r="C1471">
        <v>1578</v>
      </c>
      <c r="L1471" s="30">
        <v>44274</v>
      </c>
      <c r="M1471">
        <v>23073</v>
      </c>
    </row>
    <row r="1472" spans="2:13" x14ac:dyDescent="0.55000000000000004">
      <c r="B1472" s="30">
        <v>43497</v>
      </c>
      <c r="C1472">
        <v>1571</v>
      </c>
      <c r="L1472" s="30">
        <v>44273</v>
      </c>
      <c r="M1472">
        <v>23065</v>
      </c>
    </row>
    <row r="1473" spans="2:13" x14ac:dyDescent="0.55000000000000004">
      <c r="B1473" s="30">
        <v>43496</v>
      </c>
      <c r="C1473">
        <v>1572</v>
      </c>
      <c r="L1473" s="30">
        <v>44272</v>
      </c>
      <c r="M1473">
        <v>23045</v>
      </c>
    </row>
    <row r="1474" spans="2:13" x14ac:dyDescent="0.55000000000000004">
      <c r="B1474" s="30">
        <v>43495</v>
      </c>
      <c r="C1474">
        <v>1548</v>
      </c>
      <c r="L1474" s="30">
        <v>44271</v>
      </c>
      <c r="M1474">
        <v>23082</v>
      </c>
    </row>
    <row r="1475" spans="2:13" x14ac:dyDescent="0.55000000000000004">
      <c r="B1475" s="30">
        <v>43494</v>
      </c>
      <c r="C1475">
        <v>1558</v>
      </c>
      <c r="L1475" s="30">
        <v>44270</v>
      </c>
      <c r="M1475">
        <v>23081</v>
      </c>
    </row>
    <row r="1476" spans="2:13" x14ac:dyDescent="0.55000000000000004">
      <c r="B1476" s="30">
        <v>43493</v>
      </c>
      <c r="C1476">
        <v>1533</v>
      </c>
      <c r="L1476" s="30">
        <v>44267</v>
      </c>
      <c r="M1476">
        <v>23055</v>
      </c>
    </row>
    <row r="1477" spans="2:13" x14ac:dyDescent="0.55000000000000004">
      <c r="B1477" s="30">
        <v>43490</v>
      </c>
      <c r="C1477">
        <v>1534</v>
      </c>
      <c r="L1477" s="30">
        <v>44266</v>
      </c>
      <c r="M1477">
        <v>23051</v>
      </c>
    </row>
    <row r="1478" spans="2:13" x14ac:dyDescent="0.55000000000000004">
      <c r="B1478" s="30">
        <v>43489</v>
      </c>
      <c r="C1478">
        <v>1548</v>
      </c>
      <c r="L1478" s="30">
        <v>44265</v>
      </c>
      <c r="M1478">
        <v>23052</v>
      </c>
    </row>
    <row r="1479" spans="2:13" x14ac:dyDescent="0.55000000000000004">
      <c r="B1479" s="30">
        <v>43488</v>
      </c>
      <c r="C1479">
        <v>1523</v>
      </c>
      <c r="L1479" s="30">
        <v>44264</v>
      </c>
      <c r="M1479">
        <v>23060</v>
      </c>
    </row>
    <row r="1480" spans="2:13" x14ac:dyDescent="0.55000000000000004">
      <c r="B1480" s="30">
        <v>43487</v>
      </c>
      <c r="C1480">
        <v>1516</v>
      </c>
      <c r="L1480" s="30">
        <v>44263</v>
      </c>
      <c r="M1480">
        <v>23025</v>
      </c>
    </row>
    <row r="1481" spans="2:13" x14ac:dyDescent="0.55000000000000004">
      <c r="B1481" s="30">
        <v>43486</v>
      </c>
      <c r="C1481">
        <v>1538</v>
      </c>
      <c r="L1481" s="30">
        <v>44260</v>
      </c>
      <c r="M1481">
        <v>23033</v>
      </c>
    </row>
    <row r="1482" spans="2:13" x14ac:dyDescent="0.55000000000000004">
      <c r="B1482" s="30">
        <v>43483</v>
      </c>
      <c r="C1482">
        <v>1544</v>
      </c>
      <c r="L1482" s="30">
        <v>44259</v>
      </c>
      <c r="M1482">
        <v>23019</v>
      </c>
    </row>
    <row r="1483" spans="2:13" x14ac:dyDescent="0.55000000000000004">
      <c r="B1483" s="30">
        <v>43482</v>
      </c>
      <c r="C1483">
        <v>1535</v>
      </c>
      <c r="L1483" s="30">
        <v>44258</v>
      </c>
      <c r="M1483">
        <v>23020</v>
      </c>
    </row>
    <row r="1484" spans="2:13" x14ac:dyDescent="0.55000000000000004">
      <c r="B1484" s="30">
        <v>43481</v>
      </c>
      <c r="C1484">
        <v>1539</v>
      </c>
      <c r="L1484" s="30">
        <v>44257</v>
      </c>
      <c r="M1484">
        <v>23022</v>
      </c>
    </row>
    <row r="1485" spans="2:13" x14ac:dyDescent="0.55000000000000004">
      <c r="B1485" s="30">
        <v>43480</v>
      </c>
      <c r="C1485">
        <v>1527</v>
      </c>
      <c r="L1485" s="30">
        <v>44256</v>
      </c>
      <c r="M1485">
        <v>23020</v>
      </c>
    </row>
    <row r="1486" spans="2:13" x14ac:dyDescent="0.55000000000000004">
      <c r="B1486" s="30">
        <v>43479</v>
      </c>
      <c r="C1486">
        <v>1528</v>
      </c>
      <c r="L1486" s="30">
        <v>44253</v>
      </c>
      <c r="M1486">
        <v>23015</v>
      </c>
    </row>
    <row r="1487" spans="2:13" x14ac:dyDescent="0.55000000000000004">
      <c r="B1487" s="30">
        <v>43476</v>
      </c>
      <c r="C1487">
        <v>1543</v>
      </c>
      <c r="L1487" s="30">
        <v>44252</v>
      </c>
      <c r="M1487">
        <v>23025</v>
      </c>
    </row>
    <row r="1488" spans="2:13" x14ac:dyDescent="0.55000000000000004">
      <c r="B1488" s="30">
        <v>43475</v>
      </c>
      <c r="C1488">
        <v>1536</v>
      </c>
      <c r="L1488" s="30">
        <v>44251</v>
      </c>
      <c r="M1488">
        <v>23020</v>
      </c>
    </row>
    <row r="1489" spans="2:13" x14ac:dyDescent="0.55000000000000004">
      <c r="B1489" s="30">
        <v>43474</v>
      </c>
      <c r="C1489">
        <v>1535</v>
      </c>
      <c r="L1489" s="30">
        <v>44250</v>
      </c>
      <c r="M1489">
        <v>23025</v>
      </c>
    </row>
    <row r="1490" spans="2:13" x14ac:dyDescent="0.55000000000000004">
      <c r="B1490" s="30">
        <v>43473</v>
      </c>
      <c r="C1490">
        <v>1556</v>
      </c>
      <c r="L1490" s="30">
        <v>44249</v>
      </c>
      <c r="M1490">
        <v>23020</v>
      </c>
    </row>
    <row r="1491" spans="2:13" x14ac:dyDescent="0.55000000000000004">
      <c r="B1491" s="30">
        <v>43472</v>
      </c>
      <c r="C1491">
        <v>1542</v>
      </c>
      <c r="L1491" s="30">
        <v>44246</v>
      </c>
      <c r="M1491">
        <v>23018</v>
      </c>
    </row>
    <row r="1492" spans="2:13" x14ac:dyDescent="0.55000000000000004">
      <c r="B1492" s="30">
        <v>43469</v>
      </c>
      <c r="C1492">
        <v>1545</v>
      </c>
      <c r="L1492" s="30">
        <v>44245</v>
      </c>
      <c r="M1492">
        <v>23015</v>
      </c>
    </row>
    <row r="1493" spans="2:13" x14ac:dyDescent="0.55000000000000004">
      <c r="B1493" s="30">
        <v>43468</v>
      </c>
      <c r="C1493">
        <v>1556</v>
      </c>
      <c r="L1493" s="30">
        <v>44244</v>
      </c>
      <c r="M1493">
        <v>23010</v>
      </c>
    </row>
    <row r="1494" spans="2:13" x14ac:dyDescent="0.55000000000000004">
      <c r="B1494" s="30">
        <v>43467</v>
      </c>
      <c r="C1494">
        <v>1530</v>
      </c>
      <c r="L1494" s="30">
        <v>44243</v>
      </c>
      <c r="M1494">
        <v>23010</v>
      </c>
    </row>
    <row r="1495" spans="2:13" x14ac:dyDescent="0.55000000000000004">
      <c r="B1495" s="30">
        <v>43465</v>
      </c>
      <c r="C1495">
        <v>1525</v>
      </c>
      <c r="L1495" s="30">
        <v>44242</v>
      </c>
      <c r="M1495">
        <v>23010</v>
      </c>
    </row>
    <row r="1496" spans="2:13" x14ac:dyDescent="0.55000000000000004">
      <c r="B1496" s="30">
        <v>43462</v>
      </c>
      <c r="C1496">
        <v>1528</v>
      </c>
      <c r="L1496" s="30">
        <v>44239</v>
      </c>
      <c r="M1496">
        <v>23010</v>
      </c>
    </row>
    <row r="1497" spans="2:13" x14ac:dyDescent="0.55000000000000004">
      <c r="B1497" s="30">
        <v>43461</v>
      </c>
      <c r="C1497">
        <v>1508</v>
      </c>
      <c r="L1497" s="30">
        <v>44238</v>
      </c>
      <c r="M1497">
        <v>23010</v>
      </c>
    </row>
    <row r="1498" spans="2:13" x14ac:dyDescent="0.55000000000000004">
      <c r="B1498" s="30">
        <v>43460</v>
      </c>
      <c r="C1498">
        <v>1515</v>
      </c>
      <c r="L1498" s="30">
        <v>44237</v>
      </c>
      <c r="M1498">
        <v>23010</v>
      </c>
    </row>
    <row r="1499" spans="2:13" x14ac:dyDescent="0.55000000000000004">
      <c r="B1499" s="30">
        <v>43458</v>
      </c>
      <c r="C1499">
        <v>1515</v>
      </c>
      <c r="L1499" s="30">
        <v>44236</v>
      </c>
      <c r="M1499">
        <v>23010</v>
      </c>
    </row>
    <row r="1500" spans="2:13" x14ac:dyDescent="0.55000000000000004">
      <c r="B1500" s="30">
        <v>43455</v>
      </c>
      <c r="C1500">
        <v>1491</v>
      </c>
      <c r="L1500" s="30">
        <v>44235</v>
      </c>
      <c r="M1500">
        <v>22970</v>
      </c>
    </row>
    <row r="1501" spans="2:13" x14ac:dyDescent="0.55000000000000004">
      <c r="B1501" s="30">
        <v>43454</v>
      </c>
      <c r="C1501">
        <v>1524</v>
      </c>
      <c r="L1501" s="30">
        <v>44232</v>
      </c>
      <c r="M1501">
        <v>23000</v>
      </c>
    </row>
    <row r="1502" spans="2:13" x14ac:dyDescent="0.55000000000000004">
      <c r="B1502" s="30">
        <v>43453</v>
      </c>
      <c r="C1502">
        <v>1507</v>
      </c>
      <c r="L1502" s="30">
        <v>44231</v>
      </c>
      <c r="M1502">
        <v>23015</v>
      </c>
    </row>
    <row r="1503" spans="2:13" x14ac:dyDescent="0.55000000000000004">
      <c r="B1503" s="30">
        <v>43452</v>
      </c>
      <c r="C1503">
        <v>1487</v>
      </c>
      <c r="L1503" s="30">
        <v>44230</v>
      </c>
      <c r="M1503">
        <v>23020</v>
      </c>
    </row>
    <row r="1504" spans="2:13" x14ac:dyDescent="0.55000000000000004">
      <c r="B1504" s="30">
        <v>43451</v>
      </c>
      <c r="C1504">
        <v>1478</v>
      </c>
      <c r="L1504" s="30">
        <v>44229</v>
      </c>
      <c r="M1504">
        <v>23027</v>
      </c>
    </row>
    <row r="1505" spans="2:13" x14ac:dyDescent="0.55000000000000004">
      <c r="B1505" s="30">
        <v>43448</v>
      </c>
      <c r="C1505">
        <v>1470</v>
      </c>
      <c r="L1505" s="30">
        <v>44228</v>
      </c>
      <c r="M1505">
        <v>23045</v>
      </c>
    </row>
    <row r="1506" spans="2:13" x14ac:dyDescent="0.55000000000000004">
      <c r="B1506" s="30">
        <v>43447</v>
      </c>
      <c r="C1506">
        <v>1504</v>
      </c>
      <c r="L1506" s="30">
        <v>44225</v>
      </c>
      <c r="M1506">
        <v>23048</v>
      </c>
    </row>
    <row r="1507" spans="2:13" x14ac:dyDescent="0.55000000000000004">
      <c r="B1507" s="30">
        <v>43446</v>
      </c>
      <c r="C1507">
        <v>1522</v>
      </c>
      <c r="L1507" s="30">
        <v>44224</v>
      </c>
      <c r="M1507">
        <v>23059</v>
      </c>
    </row>
    <row r="1508" spans="2:13" x14ac:dyDescent="0.55000000000000004">
      <c r="B1508" s="30">
        <v>43445</v>
      </c>
      <c r="C1508">
        <v>1527</v>
      </c>
      <c r="L1508" s="30">
        <v>44223</v>
      </c>
      <c r="M1508">
        <v>23069</v>
      </c>
    </row>
    <row r="1509" spans="2:13" x14ac:dyDescent="0.55000000000000004">
      <c r="B1509" s="30">
        <v>43444</v>
      </c>
      <c r="C1509">
        <v>1548</v>
      </c>
      <c r="L1509" s="30">
        <v>44222</v>
      </c>
      <c r="M1509">
        <v>23069</v>
      </c>
    </row>
    <row r="1510" spans="2:13" x14ac:dyDescent="0.55000000000000004">
      <c r="B1510" s="30">
        <v>43441</v>
      </c>
      <c r="C1510">
        <v>1554</v>
      </c>
      <c r="L1510" s="30">
        <v>44221</v>
      </c>
      <c r="M1510">
        <v>23060</v>
      </c>
    </row>
    <row r="1511" spans="2:13" x14ac:dyDescent="0.55000000000000004">
      <c r="B1511" s="30">
        <v>43440</v>
      </c>
      <c r="C1511">
        <v>1563</v>
      </c>
      <c r="L1511" s="30">
        <v>44218</v>
      </c>
      <c r="M1511">
        <v>23070</v>
      </c>
    </row>
    <row r="1512" spans="2:13" x14ac:dyDescent="0.55000000000000004">
      <c r="B1512" s="30">
        <v>43439</v>
      </c>
      <c r="C1512">
        <v>1580</v>
      </c>
      <c r="L1512" s="30">
        <v>44217</v>
      </c>
      <c r="M1512">
        <v>23060</v>
      </c>
    </row>
    <row r="1513" spans="2:13" x14ac:dyDescent="0.55000000000000004">
      <c r="B1513" s="30">
        <v>43438</v>
      </c>
      <c r="C1513">
        <v>1581</v>
      </c>
      <c r="L1513" s="30">
        <v>44216</v>
      </c>
      <c r="M1513">
        <v>23072</v>
      </c>
    </row>
    <row r="1514" spans="2:13" x14ac:dyDescent="0.55000000000000004">
      <c r="B1514" s="30">
        <v>43437</v>
      </c>
      <c r="C1514">
        <v>1590</v>
      </c>
      <c r="L1514" s="30">
        <v>44215</v>
      </c>
      <c r="M1514">
        <v>23069</v>
      </c>
    </row>
    <row r="1515" spans="2:13" x14ac:dyDescent="0.55000000000000004">
      <c r="B1515" s="30">
        <v>43434</v>
      </c>
      <c r="C1515">
        <v>1599</v>
      </c>
      <c r="L1515" s="30">
        <v>44214</v>
      </c>
      <c r="M1515">
        <v>23069</v>
      </c>
    </row>
    <row r="1516" spans="2:13" x14ac:dyDescent="0.55000000000000004">
      <c r="B1516" s="30">
        <v>43433</v>
      </c>
      <c r="C1516">
        <v>1625</v>
      </c>
      <c r="L1516" s="30">
        <v>44211</v>
      </c>
      <c r="M1516">
        <v>23065</v>
      </c>
    </row>
    <row r="1517" spans="2:13" x14ac:dyDescent="0.55000000000000004">
      <c r="B1517" s="30">
        <v>43432</v>
      </c>
      <c r="C1517">
        <v>1630</v>
      </c>
      <c r="L1517" s="30">
        <v>44210</v>
      </c>
      <c r="M1517">
        <v>23064</v>
      </c>
    </row>
    <row r="1518" spans="2:13" x14ac:dyDescent="0.55000000000000004">
      <c r="B1518" s="30">
        <v>43431</v>
      </c>
      <c r="C1518">
        <v>1647</v>
      </c>
      <c r="L1518" s="30">
        <v>44209</v>
      </c>
      <c r="M1518">
        <v>23064</v>
      </c>
    </row>
    <row r="1519" spans="2:13" x14ac:dyDescent="0.55000000000000004">
      <c r="B1519" s="30">
        <v>43430</v>
      </c>
      <c r="C1519">
        <v>1637</v>
      </c>
      <c r="L1519" s="30">
        <v>44208</v>
      </c>
      <c r="M1519">
        <v>23065</v>
      </c>
    </row>
    <row r="1520" spans="2:13" x14ac:dyDescent="0.55000000000000004">
      <c r="B1520" s="30">
        <v>43427</v>
      </c>
      <c r="C1520">
        <v>1611</v>
      </c>
      <c r="L1520" s="30">
        <v>44207</v>
      </c>
      <c r="M1520">
        <v>23050</v>
      </c>
    </row>
    <row r="1521" spans="2:13" x14ac:dyDescent="0.55000000000000004">
      <c r="B1521" s="30">
        <v>43426</v>
      </c>
      <c r="C1521">
        <v>1610</v>
      </c>
      <c r="L1521" s="30">
        <v>44204</v>
      </c>
      <c r="M1521">
        <v>23066</v>
      </c>
    </row>
    <row r="1522" spans="2:13" x14ac:dyDescent="0.55000000000000004">
      <c r="B1522" s="30">
        <v>43425</v>
      </c>
      <c r="C1522">
        <v>1615</v>
      </c>
      <c r="L1522" s="30">
        <v>44203</v>
      </c>
      <c r="M1522">
        <v>23078</v>
      </c>
    </row>
    <row r="1523" spans="2:13" x14ac:dyDescent="0.55000000000000004">
      <c r="B1523" s="30">
        <v>43424</v>
      </c>
      <c r="C1523">
        <v>1625</v>
      </c>
      <c r="L1523" s="30">
        <v>44202</v>
      </c>
      <c r="M1523">
        <v>23090</v>
      </c>
    </row>
    <row r="1524" spans="2:13" x14ac:dyDescent="0.55000000000000004">
      <c r="B1524" s="30">
        <v>43423</v>
      </c>
      <c r="C1524">
        <v>1632</v>
      </c>
      <c r="L1524" s="30">
        <v>44201</v>
      </c>
      <c r="M1524">
        <v>23080</v>
      </c>
    </row>
    <row r="1525" spans="2:13" x14ac:dyDescent="0.55000000000000004">
      <c r="B1525" s="30">
        <v>43420</v>
      </c>
      <c r="C1525">
        <v>1646</v>
      </c>
      <c r="L1525" s="30">
        <v>44200</v>
      </c>
      <c r="M1525">
        <v>23070</v>
      </c>
    </row>
    <row r="1526" spans="2:13" x14ac:dyDescent="0.55000000000000004">
      <c r="B1526" s="30">
        <v>43419</v>
      </c>
      <c r="C1526">
        <v>1667</v>
      </c>
      <c r="L1526" s="30">
        <v>44197</v>
      </c>
      <c r="M1526">
        <v>23070</v>
      </c>
    </row>
    <row r="1527" spans="2:13" x14ac:dyDescent="0.55000000000000004">
      <c r="B1527" s="30">
        <v>43418</v>
      </c>
      <c r="C1527">
        <v>1663</v>
      </c>
      <c r="L1527" s="30">
        <v>44196</v>
      </c>
      <c r="M1527">
        <v>23070</v>
      </c>
    </row>
    <row r="1528" spans="2:13" x14ac:dyDescent="0.55000000000000004">
      <c r="B1528" s="30">
        <v>43417</v>
      </c>
      <c r="C1528">
        <v>1656</v>
      </c>
      <c r="L1528" s="30">
        <v>44195</v>
      </c>
      <c r="M1528">
        <v>23088</v>
      </c>
    </row>
    <row r="1529" spans="2:13" x14ac:dyDescent="0.55000000000000004">
      <c r="B1529" s="30">
        <v>43416</v>
      </c>
      <c r="C1529">
        <v>1654</v>
      </c>
      <c r="L1529" s="30">
        <v>44194</v>
      </c>
      <c r="M1529">
        <v>23120</v>
      </c>
    </row>
    <row r="1530" spans="2:13" x14ac:dyDescent="0.55000000000000004">
      <c r="B1530" s="30">
        <v>43413</v>
      </c>
      <c r="C1530">
        <v>1685</v>
      </c>
      <c r="L1530" s="30">
        <v>44193</v>
      </c>
      <c r="M1530">
        <v>23125</v>
      </c>
    </row>
    <row r="1531" spans="2:13" x14ac:dyDescent="0.55000000000000004">
      <c r="B1531" s="30">
        <v>43412</v>
      </c>
      <c r="C1531">
        <v>1684</v>
      </c>
      <c r="L1531" s="30">
        <v>44190</v>
      </c>
      <c r="M1531">
        <v>23130</v>
      </c>
    </row>
    <row r="1532" spans="2:13" x14ac:dyDescent="0.55000000000000004">
      <c r="B1532" s="30">
        <v>43411</v>
      </c>
      <c r="C1532">
        <v>1687</v>
      </c>
      <c r="L1532" s="30">
        <v>44189</v>
      </c>
      <c r="M1532">
        <v>23125</v>
      </c>
    </row>
    <row r="1533" spans="2:13" x14ac:dyDescent="0.55000000000000004">
      <c r="B1533" s="30">
        <v>43410</v>
      </c>
      <c r="C1533">
        <v>1669</v>
      </c>
      <c r="L1533" s="30">
        <v>44188</v>
      </c>
      <c r="M1533">
        <v>23130</v>
      </c>
    </row>
    <row r="1534" spans="2:13" x14ac:dyDescent="0.55000000000000004">
      <c r="B1534" s="30">
        <v>43409</v>
      </c>
      <c r="C1534">
        <v>1688</v>
      </c>
      <c r="L1534" s="30">
        <v>44187</v>
      </c>
      <c r="M1534">
        <v>23127</v>
      </c>
    </row>
    <row r="1535" spans="2:13" x14ac:dyDescent="0.55000000000000004">
      <c r="B1535" s="30">
        <v>43406</v>
      </c>
      <c r="C1535">
        <v>1729</v>
      </c>
      <c r="L1535" s="30">
        <v>44186</v>
      </c>
      <c r="M1535">
        <v>23120</v>
      </c>
    </row>
    <row r="1536" spans="2:13" x14ac:dyDescent="0.55000000000000004">
      <c r="B1536" s="30">
        <v>43405</v>
      </c>
      <c r="C1536">
        <v>1712</v>
      </c>
      <c r="L1536" s="30">
        <v>44183</v>
      </c>
      <c r="M1536">
        <v>23124</v>
      </c>
    </row>
    <row r="1537" spans="2:13" x14ac:dyDescent="0.55000000000000004">
      <c r="B1537" s="30">
        <v>43404</v>
      </c>
      <c r="C1537">
        <v>1675</v>
      </c>
      <c r="L1537" s="30">
        <v>44182</v>
      </c>
      <c r="M1537">
        <v>23120</v>
      </c>
    </row>
    <row r="1538" spans="2:13" x14ac:dyDescent="0.55000000000000004">
      <c r="B1538" s="30">
        <v>43403</v>
      </c>
      <c r="C1538">
        <v>1676</v>
      </c>
      <c r="L1538" s="30">
        <v>44181</v>
      </c>
      <c r="M1538">
        <v>23126</v>
      </c>
    </row>
    <row r="1539" spans="2:13" x14ac:dyDescent="0.55000000000000004">
      <c r="B1539" s="30">
        <v>43402</v>
      </c>
      <c r="C1539">
        <v>1687</v>
      </c>
      <c r="L1539" s="30">
        <v>44180</v>
      </c>
      <c r="M1539">
        <v>23126</v>
      </c>
    </row>
    <row r="1540" spans="2:13" x14ac:dyDescent="0.55000000000000004">
      <c r="B1540" s="30">
        <v>43399</v>
      </c>
      <c r="C1540">
        <v>1730</v>
      </c>
      <c r="L1540" s="30">
        <v>44179</v>
      </c>
      <c r="M1540">
        <v>23126</v>
      </c>
    </row>
    <row r="1541" spans="2:13" x14ac:dyDescent="0.55000000000000004">
      <c r="B1541" s="30">
        <v>43398</v>
      </c>
      <c r="C1541">
        <v>1707</v>
      </c>
      <c r="L1541" s="30">
        <v>44176</v>
      </c>
      <c r="M1541">
        <v>23128</v>
      </c>
    </row>
    <row r="1542" spans="2:13" x14ac:dyDescent="0.55000000000000004">
      <c r="B1542" s="30">
        <v>43397</v>
      </c>
      <c r="C1542">
        <v>1717</v>
      </c>
      <c r="L1542" s="30">
        <v>44175</v>
      </c>
      <c r="M1542">
        <v>23128</v>
      </c>
    </row>
    <row r="1543" spans="2:13" x14ac:dyDescent="0.55000000000000004">
      <c r="B1543" s="30">
        <v>43396</v>
      </c>
      <c r="C1543">
        <v>1719</v>
      </c>
      <c r="L1543" s="30">
        <v>44174</v>
      </c>
      <c r="M1543">
        <v>23128</v>
      </c>
    </row>
    <row r="1544" spans="2:13" x14ac:dyDescent="0.55000000000000004">
      <c r="B1544" s="30">
        <v>43395</v>
      </c>
      <c r="C1544">
        <v>1721</v>
      </c>
      <c r="L1544" s="30">
        <v>44173</v>
      </c>
      <c r="M1544">
        <v>23128</v>
      </c>
    </row>
    <row r="1545" spans="2:13" x14ac:dyDescent="0.55000000000000004">
      <c r="B1545" s="30">
        <v>43392</v>
      </c>
      <c r="C1545">
        <v>1739</v>
      </c>
      <c r="L1545" s="30">
        <v>44172</v>
      </c>
      <c r="M1545">
        <v>23127</v>
      </c>
    </row>
    <row r="1546" spans="2:13" x14ac:dyDescent="0.55000000000000004">
      <c r="B1546" s="30">
        <v>43391</v>
      </c>
      <c r="C1546">
        <v>1775</v>
      </c>
      <c r="L1546" s="30">
        <v>44169</v>
      </c>
      <c r="M1546">
        <v>23130</v>
      </c>
    </row>
    <row r="1547" spans="2:13" x14ac:dyDescent="0.55000000000000004">
      <c r="B1547" s="30">
        <v>43390</v>
      </c>
      <c r="C1547">
        <v>1776</v>
      </c>
      <c r="L1547" s="30">
        <v>44168</v>
      </c>
      <c r="M1547">
        <v>23125</v>
      </c>
    </row>
    <row r="1548" spans="2:13" x14ac:dyDescent="0.55000000000000004">
      <c r="B1548" s="30">
        <v>43389</v>
      </c>
      <c r="C1548">
        <v>1755</v>
      </c>
      <c r="L1548" s="30">
        <v>44167</v>
      </c>
      <c r="M1548">
        <v>23129</v>
      </c>
    </row>
    <row r="1549" spans="2:13" x14ac:dyDescent="0.55000000000000004">
      <c r="B1549" s="30">
        <v>43388</v>
      </c>
      <c r="C1549">
        <v>1752</v>
      </c>
      <c r="L1549" s="30">
        <v>44166</v>
      </c>
      <c r="M1549">
        <v>23129</v>
      </c>
    </row>
    <row r="1550" spans="2:13" x14ac:dyDescent="0.55000000000000004">
      <c r="B1550" s="30">
        <v>43385</v>
      </c>
      <c r="C1550">
        <v>1725</v>
      </c>
      <c r="L1550" s="30">
        <v>44165</v>
      </c>
      <c r="M1550">
        <v>23140</v>
      </c>
    </row>
    <row r="1551" spans="2:13" x14ac:dyDescent="0.55000000000000004">
      <c r="B1551" s="30">
        <v>43384</v>
      </c>
      <c r="C1551">
        <v>1699</v>
      </c>
      <c r="L1551" s="30">
        <v>44162</v>
      </c>
      <c r="M1551">
        <v>23160</v>
      </c>
    </row>
    <row r="1552" spans="2:13" x14ac:dyDescent="0.55000000000000004">
      <c r="B1552" s="30">
        <v>43383</v>
      </c>
      <c r="C1552">
        <v>1698</v>
      </c>
      <c r="L1552" s="30">
        <v>44161</v>
      </c>
      <c r="M1552">
        <v>23164</v>
      </c>
    </row>
    <row r="1553" spans="2:13" x14ac:dyDescent="0.55000000000000004">
      <c r="B1553" s="30">
        <v>43382</v>
      </c>
      <c r="C1553">
        <v>1704</v>
      </c>
      <c r="L1553" s="30">
        <v>44160</v>
      </c>
      <c r="M1553">
        <v>23160</v>
      </c>
    </row>
    <row r="1554" spans="2:13" x14ac:dyDescent="0.55000000000000004">
      <c r="B1554" s="30">
        <v>43381</v>
      </c>
      <c r="C1554">
        <v>1700</v>
      </c>
      <c r="L1554" s="30">
        <v>44159</v>
      </c>
      <c r="M1554">
        <v>23151</v>
      </c>
    </row>
    <row r="1555" spans="2:13" x14ac:dyDescent="0.55000000000000004">
      <c r="B1555" s="30">
        <v>43378</v>
      </c>
      <c r="C1555">
        <v>1662</v>
      </c>
      <c r="L1555" s="30">
        <v>44158</v>
      </c>
      <c r="M1555">
        <v>23177</v>
      </c>
    </row>
    <row r="1556" spans="2:13" x14ac:dyDescent="0.55000000000000004">
      <c r="B1556" s="30">
        <v>43377</v>
      </c>
      <c r="C1556">
        <v>1615</v>
      </c>
      <c r="L1556" s="30">
        <v>44155</v>
      </c>
      <c r="M1556">
        <v>23176</v>
      </c>
    </row>
    <row r="1557" spans="2:13" x14ac:dyDescent="0.55000000000000004">
      <c r="B1557" s="30">
        <v>43376</v>
      </c>
      <c r="C1557">
        <v>1586</v>
      </c>
      <c r="L1557" s="30">
        <v>44154</v>
      </c>
      <c r="M1557">
        <v>23176</v>
      </c>
    </row>
    <row r="1558" spans="2:13" x14ac:dyDescent="0.55000000000000004">
      <c r="B1558" s="30">
        <v>43375</v>
      </c>
      <c r="C1558">
        <v>1591</v>
      </c>
      <c r="L1558" s="30">
        <v>44153</v>
      </c>
      <c r="M1558">
        <v>23160</v>
      </c>
    </row>
    <row r="1559" spans="2:13" x14ac:dyDescent="0.55000000000000004">
      <c r="B1559" s="30">
        <v>43374</v>
      </c>
      <c r="C1559">
        <v>1552</v>
      </c>
      <c r="L1559" s="30">
        <v>44152</v>
      </c>
      <c r="M1559">
        <v>23163</v>
      </c>
    </row>
    <row r="1560" spans="2:13" x14ac:dyDescent="0.55000000000000004">
      <c r="B1560" s="30">
        <v>43371</v>
      </c>
      <c r="C1560">
        <v>1541</v>
      </c>
      <c r="L1560" s="30">
        <v>44151</v>
      </c>
      <c r="M1560">
        <v>23175</v>
      </c>
    </row>
    <row r="1561" spans="2:13" x14ac:dyDescent="0.55000000000000004">
      <c r="B1561" s="30">
        <v>43370</v>
      </c>
      <c r="C1561">
        <v>1512</v>
      </c>
      <c r="L1561" s="30">
        <v>44148</v>
      </c>
      <c r="M1561">
        <v>23175</v>
      </c>
    </row>
    <row r="1562" spans="2:13" x14ac:dyDescent="0.55000000000000004">
      <c r="B1562" s="30">
        <v>43369</v>
      </c>
      <c r="C1562">
        <v>1508</v>
      </c>
      <c r="L1562" s="30">
        <v>44147</v>
      </c>
      <c r="M1562">
        <v>23175</v>
      </c>
    </row>
    <row r="1563" spans="2:13" x14ac:dyDescent="0.55000000000000004">
      <c r="B1563" s="30">
        <v>43368</v>
      </c>
      <c r="C1563">
        <v>1504</v>
      </c>
      <c r="L1563" s="30">
        <v>44146</v>
      </c>
      <c r="M1563">
        <v>23175</v>
      </c>
    </row>
    <row r="1564" spans="2:13" x14ac:dyDescent="0.55000000000000004">
      <c r="B1564" s="30">
        <v>43367</v>
      </c>
      <c r="C1564">
        <v>1513</v>
      </c>
      <c r="L1564" s="30">
        <v>44145</v>
      </c>
      <c r="M1564">
        <v>23173</v>
      </c>
    </row>
    <row r="1565" spans="2:13" x14ac:dyDescent="0.55000000000000004">
      <c r="B1565" s="30">
        <v>43364</v>
      </c>
      <c r="C1565">
        <v>1489</v>
      </c>
      <c r="L1565" s="30">
        <v>44144</v>
      </c>
      <c r="M1565">
        <v>23170</v>
      </c>
    </row>
    <row r="1566" spans="2:13" x14ac:dyDescent="0.55000000000000004">
      <c r="B1566" s="30">
        <v>43363</v>
      </c>
      <c r="C1566">
        <v>1508</v>
      </c>
      <c r="L1566" s="30">
        <v>44141</v>
      </c>
      <c r="M1566">
        <v>23176</v>
      </c>
    </row>
    <row r="1567" spans="2:13" x14ac:dyDescent="0.55000000000000004">
      <c r="B1567" s="30">
        <v>43362</v>
      </c>
      <c r="C1567">
        <v>1487</v>
      </c>
      <c r="L1567" s="30">
        <v>44140</v>
      </c>
      <c r="M1567">
        <v>23175</v>
      </c>
    </row>
    <row r="1568" spans="2:13" x14ac:dyDescent="0.55000000000000004">
      <c r="B1568" s="30">
        <v>43361</v>
      </c>
      <c r="C1568">
        <v>1492</v>
      </c>
      <c r="L1568" s="30">
        <v>44139</v>
      </c>
      <c r="M1568">
        <v>23176</v>
      </c>
    </row>
    <row r="1569" spans="2:13" x14ac:dyDescent="0.55000000000000004">
      <c r="B1569" s="30">
        <v>43360</v>
      </c>
      <c r="C1569">
        <v>1479</v>
      </c>
      <c r="L1569" s="30">
        <v>44138</v>
      </c>
      <c r="M1569">
        <v>23176</v>
      </c>
    </row>
    <row r="1570" spans="2:13" x14ac:dyDescent="0.55000000000000004">
      <c r="B1570" s="30">
        <v>43357</v>
      </c>
      <c r="C1570">
        <v>1489</v>
      </c>
      <c r="L1570" s="30">
        <v>44137</v>
      </c>
      <c r="M1570">
        <v>23177</v>
      </c>
    </row>
    <row r="1571" spans="2:13" x14ac:dyDescent="0.55000000000000004">
      <c r="B1571" s="30">
        <v>43356</v>
      </c>
      <c r="C1571">
        <v>1500</v>
      </c>
      <c r="L1571" s="30">
        <v>44134</v>
      </c>
      <c r="M1571">
        <v>23180</v>
      </c>
    </row>
    <row r="1572" spans="2:13" x14ac:dyDescent="0.55000000000000004">
      <c r="B1572" s="30">
        <v>43355</v>
      </c>
      <c r="C1572">
        <v>1516</v>
      </c>
      <c r="L1572" s="30">
        <v>44133</v>
      </c>
      <c r="M1572">
        <v>23170</v>
      </c>
    </row>
    <row r="1573" spans="2:13" x14ac:dyDescent="0.55000000000000004">
      <c r="B1573" s="30">
        <v>43354</v>
      </c>
      <c r="C1573">
        <v>1478</v>
      </c>
      <c r="L1573" s="30">
        <v>44132</v>
      </c>
      <c r="M1573">
        <v>23176</v>
      </c>
    </row>
    <row r="1574" spans="2:13" x14ac:dyDescent="0.55000000000000004">
      <c r="B1574" s="30">
        <v>43353</v>
      </c>
      <c r="C1574">
        <v>1477</v>
      </c>
      <c r="L1574" s="30">
        <v>44131</v>
      </c>
      <c r="M1574">
        <v>23175</v>
      </c>
    </row>
    <row r="1575" spans="2:13" x14ac:dyDescent="0.55000000000000004">
      <c r="B1575" s="30">
        <v>43350</v>
      </c>
      <c r="C1575">
        <v>1491</v>
      </c>
      <c r="L1575" s="30">
        <v>44130</v>
      </c>
      <c r="M1575">
        <v>23175</v>
      </c>
    </row>
    <row r="1576" spans="2:13" x14ac:dyDescent="0.55000000000000004">
      <c r="B1576" s="30">
        <v>43349</v>
      </c>
      <c r="C1576">
        <v>1492</v>
      </c>
      <c r="L1576" s="30">
        <v>44127</v>
      </c>
      <c r="M1576">
        <v>23176</v>
      </c>
    </row>
    <row r="1577" spans="2:13" x14ac:dyDescent="0.55000000000000004">
      <c r="B1577" s="30">
        <v>43348</v>
      </c>
      <c r="C1577">
        <v>1501</v>
      </c>
      <c r="L1577" s="30">
        <v>44126</v>
      </c>
      <c r="M1577">
        <v>23176</v>
      </c>
    </row>
    <row r="1578" spans="2:13" x14ac:dyDescent="0.55000000000000004">
      <c r="B1578" s="30">
        <v>43347</v>
      </c>
      <c r="C1578">
        <v>1475</v>
      </c>
      <c r="L1578" s="30">
        <v>44125</v>
      </c>
      <c r="M1578">
        <v>23177</v>
      </c>
    </row>
    <row r="1579" spans="2:13" x14ac:dyDescent="0.55000000000000004">
      <c r="B1579" s="30">
        <v>43346</v>
      </c>
      <c r="C1579">
        <v>1489</v>
      </c>
      <c r="L1579" s="30">
        <v>44124</v>
      </c>
      <c r="M1579">
        <v>23179</v>
      </c>
    </row>
    <row r="1580" spans="2:13" x14ac:dyDescent="0.55000000000000004">
      <c r="B1580" s="30">
        <v>43343</v>
      </c>
      <c r="C1580">
        <v>1501</v>
      </c>
      <c r="L1580" s="30">
        <v>44123</v>
      </c>
      <c r="M1580">
        <v>23175</v>
      </c>
    </row>
    <row r="1581" spans="2:13" x14ac:dyDescent="0.55000000000000004">
      <c r="B1581" s="30">
        <v>43342</v>
      </c>
      <c r="C1581">
        <v>1522</v>
      </c>
      <c r="L1581" s="30">
        <v>44120</v>
      </c>
      <c r="M1581">
        <v>23175</v>
      </c>
    </row>
    <row r="1582" spans="2:13" x14ac:dyDescent="0.55000000000000004">
      <c r="B1582" s="30">
        <v>43341</v>
      </c>
      <c r="C1582">
        <v>1546</v>
      </c>
      <c r="L1582" s="30">
        <v>44119</v>
      </c>
      <c r="M1582">
        <v>23170</v>
      </c>
    </row>
    <row r="1583" spans="2:13" x14ac:dyDescent="0.55000000000000004">
      <c r="B1583" s="30">
        <v>43340</v>
      </c>
      <c r="C1583">
        <v>1536</v>
      </c>
      <c r="L1583" s="30">
        <v>44118</v>
      </c>
      <c r="M1583">
        <v>23175</v>
      </c>
    </row>
    <row r="1584" spans="2:13" x14ac:dyDescent="0.55000000000000004">
      <c r="B1584" s="30">
        <v>43336</v>
      </c>
      <c r="C1584">
        <v>1541</v>
      </c>
      <c r="L1584" s="30">
        <v>44117</v>
      </c>
      <c r="M1584">
        <v>23177</v>
      </c>
    </row>
    <row r="1585" spans="2:13" x14ac:dyDescent="0.55000000000000004">
      <c r="B1585" s="30">
        <v>43335</v>
      </c>
      <c r="C1585">
        <v>1531</v>
      </c>
      <c r="L1585" s="30">
        <v>44116</v>
      </c>
      <c r="M1585">
        <v>23178</v>
      </c>
    </row>
    <row r="1586" spans="2:13" x14ac:dyDescent="0.55000000000000004">
      <c r="B1586" s="30">
        <v>43334</v>
      </c>
      <c r="C1586">
        <v>1548</v>
      </c>
      <c r="L1586" s="30">
        <v>44113</v>
      </c>
      <c r="M1586">
        <v>23180</v>
      </c>
    </row>
    <row r="1587" spans="2:13" x14ac:dyDescent="0.55000000000000004">
      <c r="B1587" s="30">
        <v>43333</v>
      </c>
      <c r="C1587">
        <v>1561</v>
      </c>
      <c r="L1587" s="30">
        <v>44112</v>
      </c>
      <c r="M1587">
        <v>23191</v>
      </c>
    </row>
    <row r="1588" spans="2:13" x14ac:dyDescent="0.55000000000000004">
      <c r="B1588" s="30">
        <v>43332</v>
      </c>
      <c r="C1588">
        <v>1566</v>
      </c>
      <c r="L1588" s="30">
        <v>44111</v>
      </c>
      <c r="M1588">
        <v>23205</v>
      </c>
    </row>
    <row r="1589" spans="2:13" x14ac:dyDescent="0.55000000000000004">
      <c r="B1589" s="30">
        <v>43329</v>
      </c>
      <c r="C1589">
        <v>1560</v>
      </c>
      <c r="L1589" s="30">
        <v>44110</v>
      </c>
      <c r="M1589">
        <v>23205</v>
      </c>
    </row>
    <row r="1590" spans="2:13" x14ac:dyDescent="0.55000000000000004">
      <c r="B1590" s="30">
        <v>43328</v>
      </c>
      <c r="C1590">
        <v>1596</v>
      </c>
      <c r="L1590" s="30">
        <v>44109</v>
      </c>
      <c r="M1590">
        <v>23203</v>
      </c>
    </row>
    <row r="1591" spans="2:13" x14ac:dyDescent="0.55000000000000004">
      <c r="B1591" s="30">
        <v>43327</v>
      </c>
      <c r="C1591">
        <v>1592</v>
      </c>
      <c r="L1591" s="30">
        <v>44106</v>
      </c>
      <c r="M1591">
        <v>23191</v>
      </c>
    </row>
    <row r="1592" spans="2:13" x14ac:dyDescent="0.55000000000000004">
      <c r="B1592" s="30">
        <v>43326</v>
      </c>
      <c r="C1592">
        <v>1620</v>
      </c>
      <c r="L1592" s="30">
        <v>44105</v>
      </c>
      <c r="M1592">
        <v>23188</v>
      </c>
    </row>
    <row r="1593" spans="2:13" x14ac:dyDescent="0.55000000000000004">
      <c r="B1593" s="30">
        <v>43325</v>
      </c>
      <c r="C1593">
        <v>1624</v>
      </c>
      <c r="L1593" s="30">
        <v>44104</v>
      </c>
      <c r="M1593">
        <v>23181</v>
      </c>
    </row>
    <row r="1594" spans="2:13" x14ac:dyDescent="0.55000000000000004">
      <c r="B1594" s="30">
        <v>43322</v>
      </c>
      <c r="C1594">
        <v>1638</v>
      </c>
      <c r="L1594" s="30">
        <v>44103</v>
      </c>
      <c r="M1594">
        <v>23190</v>
      </c>
    </row>
    <row r="1595" spans="2:13" x14ac:dyDescent="0.55000000000000004">
      <c r="B1595" s="30">
        <v>43321</v>
      </c>
      <c r="C1595">
        <v>1641</v>
      </c>
      <c r="L1595" s="30">
        <v>44102</v>
      </c>
      <c r="M1595">
        <v>23188</v>
      </c>
    </row>
    <row r="1596" spans="2:13" x14ac:dyDescent="0.55000000000000004">
      <c r="B1596" s="30">
        <v>43320</v>
      </c>
      <c r="C1596">
        <v>1630</v>
      </c>
      <c r="L1596" s="30">
        <v>44099</v>
      </c>
      <c r="M1596">
        <v>23191</v>
      </c>
    </row>
    <row r="1597" spans="2:13" x14ac:dyDescent="0.55000000000000004">
      <c r="B1597" s="30">
        <v>43319</v>
      </c>
      <c r="C1597">
        <v>1648</v>
      </c>
      <c r="L1597" s="30">
        <v>44098</v>
      </c>
      <c r="M1597">
        <v>23184</v>
      </c>
    </row>
    <row r="1598" spans="2:13" x14ac:dyDescent="0.55000000000000004">
      <c r="B1598" s="30">
        <v>43318</v>
      </c>
      <c r="C1598">
        <v>1652</v>
      </c>
      <c r="L1598" s="30">
        <v>44097</v>
      </c>
      <c r="M1598">
        <v>23185</v>
      </c>
    </row>
    <row r="1599" spans="2:13" x14ac:dyDescent="0.55000000000000004">
      <c r="B1599" s="30">
        <v>43315</v>
      </c>
      <c r="C1599">
        <v>1642</v>
      </c>
      <c r="L1599" s="30">
        <v>44096</v>
      </c>
      <c r="M1599">
        <v>23177</v>
      </c>
    </row>
    <row r="1600" spans="2:13" x14ac:dyDescent="0.55000000000000004">
      <c r="B1600" s="30">
        <v>43314</v>
      </c>
      <c r="C1600">
        <v>1633</v>
      </c>
      <c r="L1600" s="30">
        <v>44095</v>
      </c>
      <c r="M1600">
        <v>23178</v>
      </c>
    </row>
    <row r="1601" spans="2:13" x14ac:dyDescent="0.55000000000000004">
      <c r="B1601" s="30">
        <v>43313</v>
      </c>
      <c r="C1601">
        <v>1639</v>
      </c>
      <c r="L1601" s="30">
        <v>44092</v>
      </c>
      <c r="M1601">
        <v>23170</v>
      </c>
    </row>
    <row r="1602" spans="2:13" x14ac:dyDescent="0.55000000000000004">
      <c r="B1602" s="30">
        <v>43312</v>
      </c>
      <c r="C1602">
        <v>1637</v>
      </c>
      <c r="L1602" s="30">
        <v>44091</v>
      </c>
      <c r="M1602">
        <v>23170</v>
      </c>
    </row>
    <row r="1603" spans="2:13" x14ac:dyDescent="0.55000000000000004">
      <c r="B1603" s="30">
        <v>43311</v>
      </c>
      <c r="C1603">
        <v>1652</v>
      </c>
      <c r="L1603" s="30">
        <v>44090</v>
      </c>
      <c r="M1603">
        <v>23178</v>
      </c>
    </row>
    <row r="1604" spans="2:13" x14ac:dyDescent="0.55000000000000004">
      <c r="B1604" s="30">
        <v>43308</v>
      </c>
      <c r="C1604">
        <v>1645</v>
      </c>
      <c r="L1604" s="30">
        <v>44089</v>
      </c>
      <c r="M1604">
        <v>23175</v>
      </c>
    </row>
    <row r="1605" spans="2:13" x14ac:dyDescent="0.55000000000000004">
      <c r="B1605" s="30">
        <v>43307</v>
      </c>
      <c r="C1605">
        <v>1643</v>
      </c>
      <c r="L1605" s="30">
        <v>44088</v>
      </c>
      <c r="M1605">
        <v>23175</v>
      </c>
    </row>
    <row r="1606" spans="2:13" x14ac:dyDescent="0.55000000000000004">
      <c r="B1606" s="30">
        <v>43306</v>
      </c>
      <c r="C1606">
        <v>1680</v>
      </c>
      <c r="L1606" s="30">
        <v>44085</v>
      </c>
      <c r="M1606">
        <v>23174</v>
      </c>
    </row>
    <row r="1607" spans="2:13" x14ac:dyDescent="0.55000000000000004">
      <c r="B1607" s="30">
        <v>43305</v>
      </c>
      <c r="C1607">
        <v>1693</v>
      </c>
      <c r="L1607" s="30">
        <v>44084</v>
      </c>
      <c r="M1607">
        <v>23172.5</v>
      </c>
    </row>
    <row r="1608" spans="2:13" x14ac:dyDescent="0.55000000000000004">
      <c r="B1608" s="30">
        <v>43304</v>
      </c>
      <c r="C1608">
        <v>1686</v>
      </c>
      <c r="L1608" s="30">
        <v>44083</v>
      </c>
      <c r="M1608">
        <v>23175</v>
      </c>
    </row>
    <row r="1609" spans="2:13" x14ac:dyDescent="0.55000000000000004">
      <c r="B1609" s="30">
        <v>43301</v>
      </c>
      <c r="C1609">
        <v>1683</v>
      </c>
      <c r="L1609" s="30">
        <v>44082</v>
      </c>
      <c r="M1609">
        <v>23176</v>
      </c>
    </row>
    <row r="1610" spans="2:13" x14ac:dyDescent="0.55000000000000004">
      <c r="B1610" s="30">
        <v>43300</v>
      </c>
      <c r="C1610">
        <v>1672</v>
      </c>
      <c r="L1610" s="30">
        <v>44081</v>
      </c>
      <c r="M1610">
        <v>23174</v>
      </c>
    </row>
    <row r="1611" spans="2:13" x14ac:dyDescent="0.55000000000000004">
      <c r="B1611" s="30">
        <v>43299</v>
      </c>
      <c r="C1611">
        <v>1651</v>
      </c>
      <c r="L1611" s="30">
        <v>44078</v>
      </c>
      <c r="M1611">
        <v>23178</v>
      </c>
    </row>
    <row r="1612" spans="2:13" x14ac:dyDescent="0.55000000000000004">
      <c r="B1612" s="30">
        <v>43298</v>
      </c>
      <c r="C1612">
        <v>1654</v>
      </c>
      <c r="L1612" s="30">
        <v>44077</v>
      </c>
      <c r="M1612">
        <v>23174</v>
      </c>
    </row>
    <row r="1613" spans="2:13" x14ac:dyDescent="0.55000000000000004">
      <c r="B1613" s="30">
        <v>43297</v>
      </c>
      <c r="C1613">
        <v>1670</v>
      </c>
      <c r="L1613" s="30">
        <v>44076</v>
      </c>
      <c r="M1613">
        <v>23174</v>
      </c>
    </row>
    <row r="1614" spans="2:13" x14ac:dyDescent="0.55000000000000004">
      <c r="B1614" s="30">
        <v>43294</v>
      </c>
      <c r="C1614">
        <v>1666</v>
      </c>
      <c r="L1614" s="30">
        <v>44075</v>
      </c>
      <c r="M1614">
        <v>23174</v>
      </c>
    </row>
    <row r="1615" spans="2:13" x14ac:dyDescent="0.55000000000000004">
      <c r="B1615" s="30">
        <v>43293</v>
      </c>
      <c r="C1615">
        <v>1681</v>
      </c>
      <c r="L1615" s="30">
        <v>44074</v>
      </c>
      <c r="M1615">
        <v>23174</v>
      </c>
    </row>
    <row r="1616" spans="2:13" x14ac:dyDescent="0.55000000000000004">
      <c r="B1616" s="30">
        <v>43292</v>
      </c>
      <c r="C1616">
        <v>1672</v>
      </c>
      <c r="L1616" s="30">
        <v>44071</v>
      </c>
      <c r="M1616">
        <v>23174</v>
      </c>
    </row>
    <row r="1617" spans="2:13" x14ac:dyDescent="0.55000000000000004">
      <c r="B1617" s="30">
        <v>43291</v>
      </c>
      <c r="C1617">
        <v>1705</v>
      </c>
      <c r="L1617" s="30">
        <v>44070</v>
      </c>
      <c r="M1617">
        <v>23174</v>
      </c>
    </row>
    <row r="1618" spans="2:13" x14ac:dyDescent="0.55000000000000004">
      <c r="B1618" s="30">
        <v>43290</v>
      </c>
      <c r="C1618">
        <v>1695</v>
      </c>
      <c r="L1618" s="30">
        <v>44069</v>
      </c>
      <c r="M1618">
        <v>23174</v>
      </c>
    </row>
    <row r="1619" spans="2:13" x14ac:dyDescent="0.55000000000000004">
      <c r="B1619" s="30">
        <v>43287</v>
      </c>
      <c r="C1619">
        <v>1662</v>
      </c>
      <c r="L1619" s="30">
        <v>44068</v>
      </c>
      <c r="M1619">
        <v>23170</v>
      </c>
    </row>
    <row r="1620" spans="2:13" x14ac:dyDescent="0.55000000000000004">
      <c r="B1620" s="30">
        <v>43286</v>
      </c>
      <c r="C1620">
        <v>1639</v>
      </c>
      <c r="L1620" s="30">
        <v>44067</v>
      </c>
      <c r="M1620">
        <v>23177</v>
      </c>
    </row>
    <row r="1621" spans="2:13" x14ac:dyDescent="0.55000000000000004">
      <c r="B1621" s="30">
        <v>43285</v>
      </c>
      <c r="C1621">
        <v>1689</v>
      </c>
      <c r="L1621" s="30">
        <v>44064</v>
      </c>
      <c r="M1621">
        <v>23175</v>
      </c>
    </row>
    <row r="1622" spans="2:13" x14ac:dyDescent="0.55000000000000004">
      <c r="B1622" s="30">
        <v>43284</v>
      </c>
      <c r="C1622">
        <v>1685</v>
      </c>
      <c r="L1622" s="30">
        <v>44063</v>
      </c>
      <c r="M1622">
        <v>23174</v>
      </c>
    </row>
    <row r="1623" spans="2:13" x14ac:dyDescent="0.55000000000000004">
      <c r="B1623" s="30">
        <v>43283</v>
      </c>
      <c r="C1623">
        <v>1677</v>
      </c>
      <c r="L1623" s="30">
        <v>44062</v>
      </c>
      <c r="M1623">
        <v>23174</v>
      </c>
    </row>
    <row r="1624" spans="2:13" x14ac:dyDescent="0.55000000000000004">
      <c r="B1624" s="30">
        <v>43280</v>
      </c>
      <c r="C1624">
        <v>1690</v>
      </c>
      <c r="L1624" s="30">
        <v>44061</v>
      </c>
      <c r="M1624">
        <v>23174</v>
      </c>
    </row>
    <row r="1625" spans="2:13" x14ac:dyDescent="0.55000000000000004">
      <c r="B1625" s="30">
        <v>43279</v>
      </c>
      <c r="C1625">
        <v>1697</v>
      </c>
      <c r="L1625" s="30">
        <v>44060</v>
      </c>
      <c r="M1625">
        <v>23174</v>
      </c>
    </row>
    <row r="1626" spans="2:13" x14ac:dyDescent="0.55000000000000004">
      <c r="B1626" s="30">
        <v>43278</v>
      </c>
      <c r="C1626">
        <v>1705</v>
      </c>
      <c r="L1626" s="30">
        <v>44057</v>
      </c>
      <c r="M1626">
        <v>23174</v>
      </c>
    </row>
    <row r="1627" spans="2:13" x14ac:dyDescent="0.55000000000000004">
      <c r="B1627" s="30">
        <v>43277</v>
      </c>
      <c r="C1627">
        <v>1686</v>
      </c>
      <c r="L1627" s="30">
        <v>44056</v>
      </c>
      <c r="M1627">
        <v>23174</v>
      </c>
    </row>
    <row r="1628" spans="2:13" x14ac:dyDescent="0.55000000000000004">
      <c r="B1628" s="30">
        <v>43276</v>
      </c>
      <c r="C1628">
        <v>1676</v>
      </c>
      <c r="L1628" s="30">
        <v>44055</v>
      </c>
      <c r="M1628">
        <v>23175</v>
      </c>
    </row>
    <row r="1629" spans="2:13" x14ac:dyDescent="0.55000000000000004">
      <c r="B1629" s="30">
        <v>43273</v>
      </c>
      <c r="C1629">
        <v>1705</v>
      </c>
      <c r="L1629" s="30">
        <v>44054</v>
      </c>
      <c r="M1629">
        <v>23174</v>
      </c>
    </row>
    <row r="1630" spans="2:13" x14ac:dyDescent="0.55000000000000004">
      <c r="B1630" s="30">
        <v>43272</v>
      </c>
      <c r="C1630">
        <v>1701</v>
      </c>
      <c r="L1630" s="30">
        <v>44053</v>
      </c>
      <c r="M1630">
        <v>23170</v>
      </c>
    </row>
    <row r="1631" spans="2:13" x14ac:dyDescent="0.55000000000000004">
      <c r="B1631" s="30">
        <v>43271</v>
      </c>
      <c r="C1631">
        <v>1695</v>
      </c>
      <c r="L1631" s="30">
        <v>44050</v>
      </c>
      <c r="M1631">
        <v>23173</v>
      </c>
    </row>
    <row r="1632" spans="2:13" x14ac:dyDescent="0.55000000000000004">
      <c r="B1632" s="30">
        <v>43270</v>
      </c>
      <c r="C1632">
        <v>1685</v>
      </c>
      <c r="L1632" s="30">
        <v>44049</v>
      </c>
      <c r="M1632">
        <v>23173</v>
      </c>
    </row>
    <row r="1633" spans="2:13" x14ac:dyDescent="0.55000000000000004">
      <c r="B1633" s="30">
        <v>43269</v>
      </c>
      <c r="C1633">
        <v>1687</v>
      </c>
      <c r="L1633" s="30">
        <v>44048</v>
      </c>
      <c r="M1633">
        <v>23174</v>
      </c>
    </row>
    <row r="1634" spans="2:13" x14ac:dyDescent="0.55000000000000004">
      <c r="B1634" s="30">
        <v>43266</v>
      </c>
      <c r="C1634">
        <v>1690</v>
      </c>
      <c r="L1634" s="30">
        <v>44047</v>
      </c>
      <c r="M1634">
        <v>23175</v>
      </c>
    </row>
    <row r="1635" spans="2:13" x14ac:dyDescent="0.55000000000000004">
      <c r="B1635" s="30">
        <v>43265</v>
      </c>
      <c r="C1635">
        <v>1701</v>
      </c>
      <c r="L1635" s="30">
        <v>44046</v>
      </c>
      <c r="M1635">
        <v>23170</v>
      </c>
    </row>
    <row r="1636" spans="2:13" x14ac:dyDescent="0.55000000000000004">
      <c r="B1636" s="30">
        <v>43264</v>
      </c>
      <c r="C1636">
        <v>1693</v>
      </c>
      <c r="L1636" s="30">
        <v>44043</v>
      </c>
      <c r="M1636">
        <v>23170</v>
      </c>
    </row>
    <row r="1637" spans="2:13" x14ac:dyDescent="0.55000000000000004">
      <c r="B1637" s="30">
        <v>43263</v>
      </c>
      <c r="C1637">
        <v>1715</v>
      </c>
      <c r="L1637" s="30">
        <v>44042</v>
      </c>
      <c r="M1637">
        <v>23175</v>
      </c>
    </row>
    <row r="1638" spans="2:13" x14ac:dyDescent="0.55000000000000004">
      <c r="B1638" s="30">
        <v>43262</v>
      </c>
      <c r="C1638">
        <v>1723</v>
      </c>
      <c r="L1638" s="30">
        <v>44041</v>
      </c>
      <c r="M1638">
        <v>23175</v>
      </c>
    </row>
    <row r="1639" spans="2:13" x14ac:dyDescent="0.55000000000000004">
      <c r="B1639" s="30">
        <v>43259</v>
      </c>
      <c r="C1639">
        <v>1712</v>
      </c>
      <c r="L1639" s="30">
        <v>44040</v>
      </c>
      <c r="M1639">
        <v>23170</v>
      </c>
    </row>
    <row r="1640" spans="2:13" x14ac:dyDescent="0.55000000000000004">
      <c r="B1640" s="30">
        <v>43258</v>
      </c>
      <c r="C1640">
        <v>1723</v>
      </c>
      <c r="L1640" s="30">
        <v>44039</v>
      </c>
      <c r="M1640">
        <v>23181</v>
      </c>
    </row>
    <row r="1641" spans="2:13" x14ac:dyDescent="0.55000000000000004">
      <c r="B1641" s="30">
        <v>43257</v>
      </c>
      <c r="C1641">
        <v>1736</v>
      </c>
      <c r="L1641" s="30">
        <v>44036</v>
      </c>
      <c r="M1641">
        <v>23175</v>
      </c>
    </row>
    <row r="1642" spans="2:13" x14ac:dyDescent="0.55000000000000004">
      <c r="B1642" s="30">
        <v>43256</v>
      </c>
      <c r="C1642">
        <v>1733</v>
      </c>
      <c r="L1642" s="30">
        <v>44035</v>
      </c>
      <c r="M1642">
        <v>23180</v>
      </c>
    </row>
    <row r="1643" spans="2:13" x14ac:dyDescent="0.55000000000000004">
      <c r="B1643" s="30">
        <v>43255</v>
      </c>
      <c r="C1643">
        <v>1732</v>
      </c>
      <c r="L1643" s="30">
        <v>44034</v>
      </c>
      <c r="M1643">
        <v>23184</v>
      </c>
    </row>
    <row r="1644" spans="2:13" x14ac:dyDescent="0.55000000000000004">
      <c r="B1644" s="30">
        <v>43252</v>
      </c>
      <c r="C1644">
        <v>1738</v>
      </c>
      <c r="L1644" s="30">
        <v>44033</v>
      </c>
      <c r="M1644">
        <v>23180</v>
      </c>
    </row>
    <row r="1645" spans="2:13" x14ac:dyDescent="0.55000000000000004">
      <c r="B1645" s="30">
        <v>43251</v>
      </c>
      <c r="C1645">
        <v>1752</v>
      </c>
      <c r="L1645" s="30">
        <v>44032</v>
      </c>
      <c r="M1645">
        <v>23188</v>
      </c>
    </row>
    <row r="1646" spans="2:13" x14ac:dyDescent="0.55000000000000004">
      <c r="B1646" s="30">
        <v>43250</v>
      </c>
      <c r="C1646">
        <v>1732</v>
      </c>
      <c r="L1646" s="30">
        <v>44029</v>
      </c>
      <c r="M1646">
        <v>23191</v>
      </c>
    </row>
    <row r="1647" spans="2:13" x14ac:dyDescent="0.55000000000000004">
      <c r="B1647" s="30">
        <v>43249</v>
      </c>
      <c r="C1647">
        <v>1741</v>
      </c>
      <c r="L1647" s="30">
        <v>44028</v>
      </c>
      <c r="M1647">
        <v>23184</v>
      </c>
    </row>
    <row r="1648" spans="2:13" x14ac:dyDescent="0.55000000000000004">
      <c r="B1648" s="30">
        <v>43248</v>
      </c>
      <c r="C1648">
        <v>1752</v>
      </c>
      <c r="L1648" s="30">
        <v>44027</v>
      </c>
      <c r="M1648">
        <v>23183</v>
      </c>
    </row>
    <row r="1649" spans="2:13" x14ac:dyDescent="0.55000000000000004">
      <c r="B1649" s="30">
        <v>43245</v>
      </c>
      <c r="C1649">
        <v>1752</v>
      </c>
      <c r="L1649" s="30">
        <v>44026</v>
      </c>
      <c r="M1649">
        <v>23181</v>
      </c>
    </row>
    <row r="1650" spans="2:13" x14ac:dyDescent="0.55000000000000004">
      <c r="B1650" s="30">
        <v>43244</v>
      </c>
      <c r="C1650">
        <v>1755</v>
      </c>
      <c r="L1650" s="30">
        <v>44025</v>
      </c>
      <c r="M1650">
        <v>23179</v>
      </c>
    </row>
    <row r="1651" spans="2:13" x14ac:dyDescent="0.55000000000000004">
      <c r="B1651" s="30">
        <v>43243</v>
      </c>
      <c r="C1651">
        <v>1751</v>
      </c>
      <c r="L1651" s="30">
        <v>44022</v>
      </c>
      <c r="M1651">
        <v>23177</v>
      </c>
    </row>
    <row r="1652" spans="2:13" x14ac:dyDescent="0.55000000000000004">
      <c r="B1652" s="30">
        <v>43242</v>
      </c>
      <c r="C1652">
        <v>1790</v>
      </c>
      <c r="L1652" s="30">
        <v>44021</v>
      </c>
      <c r="M1652">
        <v>23184</v>
      </c>
    </row>
    <row r="1653" spans="2:13" x14ac:dyDescent="0.55000000000000004">
      <c r="B1653" s="30">
        <v>43241</v>
      </c>
      <c r="C1653">
        <v>1795</v>
      </c>
      <c r="L1653" s="30">
        <v>44020</v>
      </c>
      <c r="M1653">
        <v>23188</v>
      </c>
    </row>
    <row r="1654" spans="2:13" x14ac:dyDescent="0.55000000000000004">
      <c r="B1654" s="30">
        <v>43238</v>
      </c>
      <c r="C1654">
        <v>1762</v>
      </c>
      <c r="L1654" s="30">
        <v>44019</v>
      </c>
      <c r="M1654">
        <v>23180</v>
      </c>
    </row>
    <row r="1655" spans="2:13" x14ac:dyDescent="0.55000000000000004">
      <c r="B1655" s="30">
        <v>43237</v>
      </c>
      <c r="C1655">
        <v>1750</v>
      </c>
      <c r="L1655" s="30">
        <v>44018</v>
      </c>
      <c r="M1655">
        <v>23201</v>
      </c>
    </row>
    <row r="1656" spans="2:13" x14ac:dyDescent="0.55000000000000004">
      <c r="B1656" s="30">
        <v>43236</v>
      </c>
      <c r="C1656">
        <v>1737</v>
      </c>
      <c r="L1656" s="30">
        <v>44015</v>
      </c>
      <c r="M1656">
        <v>23199</v>
      </c>
    </row>
    <row r="1657" spans="2:13" x14ac:dyDescent="0.55000000000000004">
      <c r="B1657" s="30">
        <v>43235</v>
      </c>
      <c r="C1657">
        <v>1728</v>
      </c>
      <c r="L1657" s="30">
        <v>44014</v>
      </c>
      <c r="M1657">
        <v>23202</v>
      </c>
    </row>
    <row r="1658" spans="2:13" x14ac:dyDescent="0.55000000000000004">
      <c r="B1658" s="30">
        <v>43234</v>
      </c>
      <c r="C1658">
        <v>1742</v>
      </c>
      <c r="L1658" s="30">
        <v>44013</v>
      </c>
      <c r="M1658">
        <v>23203</v>
      </c>
    </row>
    <row r="1659" spans="2:13" x14ac:dyDescent="0.55000000000000004">
      <c r="B1659" s="30">
        <v>43231</v>
      </c>
      <c r="C1659">
        <v>1758</v>
      </c>
      <c r="L1659" s="30">
        <v>44012</v>
      </c>
      <c r="M1659">
        <v>23204</v>
      </c>
    </row>
    <row r="1660" spans="2:13" x14ac:dyDescent="0.55000000000000004">
      <c r="B1660" s="30">
        <v>43230</v>
      </c>
      <c r="C1660">
        <v>1743</v>
      </c>
      <c r="L1660" s="30">
        <v>44011</v>
      </c>
      <c r="M1660">
        <v>23198</v>
      </c>
    </row>
    <row r="1661" spans="2:13" x14ac:dyDescent="0.55000000000000004">
      <c r="B1661" s="30">
        <v>43229</v>
      </c>
      <c r="C1661">
        <v>1747</v>
      </c>
      <c r="L1661" s="30">
        <v>44008</v>
      </c>
      <c r="M1661">
        <v>23210</v>
      </c>
    </row>
    <row r="1662" spans="2:13" x14ac:dyDescent="0.55000000000000004">
      <c r="B1662" s="30">
        <v>43228</v>
      </c>
      <c r="C1662">
        <v>1794</v>
      </c>
      <c r="L1662" s="30">
        <v>44007</v>
      </c>
      <c r="M1662">
        <v>23208</v>
      </c>
    </row>
    <row r="1663" spans="2:13" x14ac:dyDescent="0.55000000000000004">
      <c r="B1663" s="30">
        <v>43224</v>
      </c>
      <c r="C1663">
        <v>1813</v>
      </c>
      <c r="L1663" s="30">
        <v>44006</v>
      </c>
      <c r="M1663">
        <v>23195</v>
      </c>
    </row>
    <row r="1664" spans="2:13" x14ac:dyDescent="0.55000000000000004">
      <c r="B1664" s="30">
        <v>43223</v>
      </c>
      <c r="C1664">
        <v>1831</v>
      </c>
      <c r="L1664" s="30">
        <v>44005</v>
      </c>
      <c r="M1664">
        <v>23213</v>
      </c>
    </row>
    <row r="1665" spans="2:13" x14ac:dyDescent="0.55000000000000004">
      <c r="B1665" s="30">
        <v>43222</v>
      </c>
      <c r="C1665">
        <v>1807</v>
      </c>
      <c r="L1665" s="30">
        <v>44004</v>
      </c>
      <c r="M1665">
        <v>23210</v>
      </c>
    </row>
    <row r="1666" spans="2:13" x14ac:dyDescent="0.55000000000000004">
      <c r="B1666" s="30">
        <v>43221</v>
      </c>
      <c r="C1666">
        <v>1815</v>
      </c>
      <c r="L1666" s="30">
        <v>44001</v>
      </c>
      <c r="M1666">
        <v>23215</v>
      </c>
    </row>
    <row r="1667" spans="2:13" x14ac:dyDescent="0.55000000000000004">
      <c r="B1667" s="30">
        <v>43220</v>
      </c>
      <c r="C1667">
        <v>1756</v>
      </c>
      <c r="L1667" s="30">
        <v>44000</v>
      </c>
      <c r="M1667">
        <v>23210</v>
      </c>
    </row>
    <row r="1668" spans="2:13" x14ac:dyDescent="0.55000000000000004">
      <c r="B1668" s="30">
        <v>43217</v>
      </c>
      <c r="C1668">
        <v>1762</v>
      </c>
      <c r="L1668" s="30">
        <v>43999</v>
      </c>
      <c r="M1668">
        <v>23196</v>
      </c>
    </row>
    <row r="1669" spans="2:13" x14ac:dyDescent="0.55000000000000004">
      <c r="B1669" s="30">
        <v>43216</v>
      </c>
      <c r="C1669">
        <v>1771</v>
      </c>
      <c r="L1669" s="30">
        <v>43998</v>
      </c>
      <c r="M1669">
        <v>23210</v>
      </c>
    </row>
    <row r="1670" spans="2:13" x14ac:dyDescent="0.55000000000000004">
      <c r="B1670" s="30">
        <v>43215</v>
      </c>
      <c r="C1670">
        <v>1760</v>
      </c>
      <c r="L1670" s="30">
        <v>43997</v>
      </c>
      <c r="M1670">
        <v>23220</v>
      </c>
    </row>
    <row r="1671" spans="2:13" x14ac:dyDescent="0.55000000000000004">
      <c r="B1671" s="30">
        <v>43214</v>
      </c>
      <c r="C1671">
        <v>1782</v>
      </c>
      <c r="L1671" s="30">
        <v>43994</v>
      </c>
      <c r="M1671">
        <v>23206</v>
      </c>
    </row>
    <row r="1672" spans="2:13" x14ac:dyDescent="0.55000000000000004">
      <c r="B1672" s="30">
        <v>43213</v>
      </c>
      <c r="C1672">
        <v>1769</v>
      </c>
      <c r="L1672" s="30">
        <v>43993</v>
      </c>
      <c r="M1672">
        <v>23215</v>
      </c>
    </row>
    <row r="1673" spans="2:13" x14ac:dyDescent="0.55000000000000004">
      <c r="B1673" s="30">
        <v>43210</v>
      </c>
      <c r="C1673">
        <v>1759</v>
      </c>
      <c r="L1673" s="30">
        <v>43992</v>
      </c>
      <c r="M1673">
        <v>23190</v>
      </c>
    </row>
    <row r="1674" spans="2:13" x14ac:dyDescent="0.55000000000000004">
      <c r="B1674" s="30">
        <v>43209</v>
      </c>
      <c r="C1674">
        <v>1767</v>
      </c>
      <c r="L1674" s="30">
        <v>43991</v>
      </c>
      <c r="M1674">
        <v>23205</v>
      </c>
    </row>
    <row r="1675" spans="2:13" x14ac:dyDescent="0.55000000000000004">
      <c r="B1675" s="30">
        <v>43208</v>
      </c>
      <c r="C1675">
        <v>1772</v>
      </c>
      <c r="L1675" s="30">
        <v>43990</v>
      </c>
      <c r="M1675">
        <v>23255</v>
      </c>
    </row>
    <row r="1676" spans="2:13" x14ac:dyDescent="0.55000000000000004">
      <c r="B1676" s="30">
        <v>43207</v>
      </c>
      <c r="C1676">
        <v>1754</v>
      </c>
      <c r="L1676" s="30">
        <v>43987</v>
      </c>
      <c r="M1676">
        <v>23255</v>
      </c>
    </row>
    <row r="1677" spans="2:13" x14ac:dyDescent="0.55000000000000004">
      <c r="B1677" s="30">
        <v>43206</v>
      </c>
      <c r="C1677">
        <v>1729</v>
      </c>
      <c r="L1677" s="30">
        <v>43986</v>
      </c>
      <c r="M1677">
        <v>23263</v>
      </c>
    </row>
    <row r="1678" spans="2:13" x14ac:dyDescent="0.55000000000000004">
      <c r="B1678" s="30">
        <v>43203</v>
      </c>
      <c r="C1678">
        <v>1736</v>
      </c>
      <c r="L1678" s="30">
        <v>43985</v>
      </c>
      <c r="M1678">
        <v>23260</v>
      </c>
    </row>
    <row r="1679" spans="2:13" x14ac:dyDescent="0.55000000000000004">
      <c r="B1679" s="30">
        <v>43202</v>
      </c>
      <c r="C1679">
        <v>1736</v>
      </c>
      <c r="L1679" s="30">
        <v>43984</v>
      </c>
      <c r="M1679">
        <v>23253</v>
      </c>
    </row>
    <row r="1680" spans="2:13" x14ac:dyDescent="0.55000000000000004">
      <c r="B1680" s="30">
        <v>43201</v>
      </c>
      <c r="C1680">
        <v>1734</v>
      </c>
      <c r="L1680" s="30">
        <v>43983</v>
      </c>
      <c r="M1680">
        <v>23260</v>
      </c>
    </row>
    <row r="1681" spans="2:13" x14ac:dyDescent="0.55000000000000004">
      <c r="B1681" s="30">
        <v>43200</v>
      </c>
      <c r="C1681">
        <v>1736</v>
      </c>
      <c r="L1681" s="30">
        <v>43980</v>
      </c>
      <c r="M1681">
        <v>23280</v>
      </c>
    </row>
    <row r="1682" spans="2:13" x14ac:dyDescent="0.55000000000000004">
      <c r="B1682" s="30">
        <v>43199</v>
      </c>
      <c r="C1682">
        <v>1759</v>
      </c>
      <c r="L1682" s="30">
        <v>43979</v>
      </c>
      <c r="M1682">
        <v>23300</v>
      </c>
    </row>
    <row r="1683" spans="2:13" x14ac:dyDescent="0.55000000000000004">
      <c r="B1683" s="30">
        <v>43196</v>
      </c>
      <c r="C1683">
        <v>1746</v>
      </c>
      <c r="L1683" s="30">
        <v>43978</v>
      </c>
      <c r="M1683">
        <v>23325</v>
      </c>
    </row>
    <row r="1684" spans="2:13" x14ac:dyDescent="0.55000000000000004">
      <c r="B1684" s="30">
        <v>43195</v>
      </c>
      <c r="C1684">
        <v>1768</v>
      </c>
      <c r="L1684" s="30">
        <v>43977</v>
      </c>
      <c r="M1684">
        <v>23336</v>
      </c>
    </row>
    <row r="1685" spans="2:13" x14ac:dyDescent="0.55000000000000004">
      <c r="B1685" s="30">
        <v>43194</v>
      </c>
      <c r="C1685">
        <v>1770</v>
      </c>
      <c r="L1685" s="30">
        <v>43976</v>
      </c>
      <c r="M1685">
        <v>23312</v>
      </c>
    </row>
    <row r="1686" spans="2:13" x14ac:dyDescent="0.55000000000000004">
      <c r="B1686" s="30">
        <v>43193</v>
      </c>
      <c r="C1686">
        <v>1759</v>
      </c>
      <c r="L1686" s="30">
        <v>43973</v>
      </c>
      <c r="M1686">
        <v>23267</v>
      </c>
    </row>
    <row r="1687" spans="2:13" x14ac:dyDescent="0.55000000000000004">
      <c r="B1687" s="30">
        <v>43188</v>
      </c>
      <c r="C1687">
        <v>1725</v>
      </c>
      <c r="L1687" s="30">
        <v>43972</v>
      </c>
      <c r="M1687">
        <v>23275</v>
      </c>
    </row>
    <row r="1688" spans="2:13" x14ac:dyDescent="0.55000000000000004">
      <c r="B1688" s="30">
        <v>43187</v>
      </c>
      <c r="C1688">
        <v>1729</v>
      </c>
      <c r="L1688" s="30">
        <v>43971</v>
      </c>
      <c r="M1688">
        <v>23270</v>
      </c>
    </row>
    <row r="1689" spans="2:13" x14ac:dyDescent="0.55000000000000004">
      <c r="B1689" s="30">
        <v>43186</v>
      </c>
      <c r="C1689">
        <v>1735</v>
      </c>
      <c r="L1689" s="30">
        <v>43970</v>
      </c>
      <c r="M1689">
        <v>23295</v>
      </c>
    </row>
    <row r="1690" spans="2:13" x14ac:dyDescent="0.55000000000000004">
      <c r="B1690" s="30">
        <v>43185</v>
      </c>
      <c r="C1690">
        <v>1688</v>
      </c>
      <c r="L1690" s="30">
        <v>43969</v>
      </c>
      <c r="M1690">
        <v>23338</v>
      </c>
    </row>
    <row r="1691" spans="2:13" x14ac:dyDescent="0.55000000000000004">
      <c r="B1691" s="30">
        <v>43182</v>
      </c>
      <c r="C1691">
        <v>1690</v>
      </c>
      <c r="L1691" s="30">
        <v>43966</v>
      </c>
      <c r="M1691">
        <v>23355</v>
      </c>
    </row>
    <row r="1692" spans="2:13" x14ac:dyDescent="0.55000000000000004">
      <c r="B1692" s="30">
        <v>43181</v>
      </c>
      <c r="C1692">
        <v>1742</v>
      </c>
      <c r="L1692" s="30">
        <v>43965</v>
      </c>
      <c r="M1692">
        <v>23350</v>
      </c>
    </row>
    <row r="1693" spans="2:13" x14ac:dyDescent="0.55000000000000004">
      <c r="B1693" s="30">
        <v>43180</v>
      </c>
      <c r="C1693">
        <v>1752</v>
      </c>
      <c r="L1693" s="30">
        <v>43964</v>
      </c>
      <c r="M1693">
        <v>23347</v>
      </c>
    </row>
    <row r="1694" spans="2:13" x14ac:dyDescent="0.55000000000000004">
      <c r="B1694" s="30">
        <v>43179</v>
      </c>
      <c r="C1694">
        <v>1754</v>
      </c>
      <c r="L1694" s="30">
        <v>43963</v>
      </c>
      <c r="M1694">
        <v>23330</v>
      </c>
    </row>
    <row r="1695" spans="2:13" x14ac:dyDescent="0.55000000000000004">
      <c r="B1695" s="30">
        <v>43178</v>
      </c>
      <c r="C1695">
        <v>1757</v>
      </c>
      <c r="L1695" s="30">
        <v>43962</v>
      </c>
      <c r="M1695">
        <v>23322</v>
      </c>
    </row>
    <row r="1696" spans="2:13" x14ac:dyDescent="0.55000000000000004">
      <c r="B1696" s="30">
        <v>43175</v>
      </c>
      <c r="C1696">
        <v>1745</v>
      </c>
      <c r="L1696" s="30">
        <v>43959</v>
      </c>
      <c r="M1696">
        <v>23377</v>
      </c>
    </row>
    <row r="1697" spans="2:13" x14ac:dyDescent="0.55000000000000004">
      <c r="B1697" s="30">
        <v>43174</v>
      </c>
      <c r="C1697">
        <v>1728</v>
      </c>
      <c r="L1697" s="30">
        <v>43958</v>
      </c>
      <c r="M1697">
        <v>23425</v>
      </c>
    </row>
    <row r="1698" spans="2:13" x14ac:dyDescent="0.55000000000000004">
      <c r="B1698" s="30">
        <v>43173</v>
      </c>
      <c r="C1698">
        <v>1752</v>
      </c>
      <c r="L1698" s="30">
        <v>43957</v>
      </c>
      <c r="M1698">
        <v>23423</v>
      </c>
    </row>
    <row r="1699" spans="2:13" x14ac:dyDescent="0.55000000000000004">
      <c r="B1699" s="30">
        <v>43172</v>
      </c>
      <c r="C1699">
        <v>1763</v>
      </c>
      <c r="L1699" s="30">
        <v>43956</v>
      </c>
      <c r="M1699">
        <v>23421</v>
      </c>
    </row>
    <row r="1700" spans="2:13" x14ac:dyDescent="0.55000000000000004">
      <c r="B1700" s="30">
        <v>43171</v>
      </c>
      <c r="C1700">
        <v>1769</v>
      </c>
      <c r="L1700" s="30">
        <v>43955</v>
      </c>
      <c r="M1700">
        <v>23445</v>
      </c>
    </row>
    <row r="1701" spans="2:13" x14ac:dyDescent="0.55000000000000004">
      <c r="B1701" s="30">
        <v>43168</v>
      </c>
      <c r="C1701">
        <v>1780</v>
      </c>
      <c r="L1701" s="30">
        <v>43952</v>
      </c>
      <c r="M1701">
        <v>23428</v>
      </c>
    </row>
    <row r="1702" spans="2:13" x14ac:dyDescent="0.55000000000000004">
      <c r="B1702" s="30">
        <v>43167</v>
      </c>
      <c r="C1702">
        <v>1760</v>
      </c>
      <c r="L1702" s="30">
        <v>43951</v>
      </c>
      <c r="M1702">
        <v>23428</v>
      </c>
    </row>
    <row r="1703" spans="2:13" x14ac:dyDescent="0.55000000000000004">
      <c r="B1703" s="30">
        <v>43166</v>
      </c>
      <c r="C1703">
        <v>1785</v>
      </c>
      <c r="L1703" s="30">
        <v>43950</v>
      </c>
      <c r="M1703">
        <v>23428</v>
      </c>
    </row>
    <row r="1704" spans="2:13" x14ac:dyDescent="0.55000000000000004">
      <c r="B1704" s="30">
        <v>43165</v>
      </c>
      <c r="C1704">
        <v>1777</v>
      </c>
      <c r="L1704" s="30">
        <v>43949</v>
      </c>
      <c r="M1704">
        <v>23442</v>
      </c>
    </row>
    <row r="1705" spans="2:13" x14ac:dyDescent="0.55000000000000004">
      <c r="B1705" s="30">
        <v>43164</v>
      </c>
      <c r="C1705">
        <v>1755</v>
      </c>
      <c r="L1705" s="30">
        <v>43948</v>
      </c>
      <c r="M1705">
        <v>23455</v>
      </c>
    </row>
    <row r="1706" spans="2:13" x14ac:dyDescent="0.55000000000000004">
      <c r="B1706" s="30">
        <v>43161</v>
      </c>
      <c r="C1706">
        <v>1751</v>
      </c>
      <c r="L1706" s="30">
        <v>43945</v>
      </c>
      <c r="M1706">
        <v>23505</v>
      </c>
    </row>
    <row r="1707" spans="2:13" x14ac:dyDescent="0.55000000000000004">
      <c r="B1707" s="30">
        <v>43160</v>
      </c>
      <c r="C1707">
        <v>1768</v>
      </c>
      <c r="L1707" s="30">
        <v>43944</v>
      </c>
      <c r="M1707">
        <v>23485</v>
      </c>
    </row>
    <row r="1708" spans="2:13" x14ac:dyDescent="0.55000000000000004">
      <c r="B1708" s="30">
        <v>43159</v>
      </c>
      <c r="C1708">
        <v>1724</v>
      </c>
      <c r="L1708" s="30">
        <v>43943</v>
      </c>
      <c r="M1708">
        <v>23479</v>
      </c>
    </row>
    <row r="1709" spans="2:13" x14ac:dyDescent="0.55000000000000004">
      <c r="B1709" s="30">
        <v>43158</v>
      </c>
      <c r="C1709">
        <v>1735</v>
      </c>
      <c r="L1709" s="30">
        <v>43942</v>
      </c>
      <c r="M1709">
        <v>23460</v>
      </c>
    </row>
    <row r="1710" spans="2:13" x14ac:dyDescent="0.55000000000000004">
      <c r="B1710" s="30">
        <v>43157</v>
      </c>
      <c r="C1710">
        <v>1744</v>
      </c>
      <c r="L1710" s="30">
        <v>43941</v>
      </c>
      <c r="M1710">
        <v>23450</v>
      </c>
    </row>
    <row r="1711" spans="2:13" x14ac:dyDescent="0.55000000000000004">
      <c r="B1711" s="30">
        <v>43154</v>
      </c>
      <c r="C1711">
        <v>1751</v>
      </c>
      <c r="L1711" s="30">
        <v>43938</v>
      </c>
      <c r="M1711">
        <v>23424</v>
      </c>
    </row>
    <row r="1712" spans="2:13" x14ac:dyDescent="0.55000000000000004">
      <c r="B1712" s="30">
        <v>43153</v>
      </c>
      <c r="C1712">
        <v>1759</v>
      </c>
      <c r="L1712" s="30">
        <v>43937</v>
      </c>
      <c r="M1712">
        <v>23440</v>
      </c>
    </row>
    <row r="1713" spans="2:13" x14ac:dyDescent="0.55000000000000004">
      <c r="B1713" s="30">
        <v>43152</v>
      </c>
      <c r="C1713">
        <v>1766</v>
      </c>
      <c r="L1713" s="30">
        <v>43936</v>
      </c>
      <c r="M1713">
        <v>23440</v>
      </c>
    </row>
    <row r="1714" spans="2:13" x14ac:dyDescent="0.55000000000000004">
      <c r="B1714" s="30">
        <v>43151</v>
      </c>
      <c r="C1714">
        <v>1770</v>
      </c>
      <c r="L1714" s="30">
        <v>43935</v>
      </c>
      <c r="M1714">
        <v>23471</v>
      </c>
    </row>
    <row r="1715" spans="2:13" x14ac:dyDescent="0.55000000000000004">
      <c r="B1715" s="30">
        <v>43150</v>
      </c>
      <c r="C1715">
        <v>1741</v>
      </c>
      <c r="L1715" s="30">
        <v>43934</v>
      </c>
      <c r="M1715">
        <v>23432</v>
      </c>
    </row>
    <row r="1716" spans="2:13" x14ac:dyDescent="0.55000000000000004">
      <c r="B1716" s="30">
        <v>43147</v>
      </c>
      <c r="C1716">
        <v>1754</v>
      </c>
      <c r="L1716" s="30">
        <v>43931</v>
      </c>
      <c r="M1716">
        <v>23435</v>
      </c>
    </row>
    <row r="1717" spans="2:13" x14ac:dyDescent="0.55000000000000004">
      <c r="B1717" s="30">
        <v>43146</v>
      </c>
      <c r="C1717">
        <v>1783</v>
      </c>
      <c r="L1717" s="30">
        <v>43930</v>
      </c>
      <c r="M1717">
        <v>23488</v>
      </c>
    </row>
    <row r="1718" spans="2:13" x14ac:dyDescent="0.55000000000000004">
      <c r="B1718" s="30">
        <v>43145</v>
      </c>
      <c r="C1718">
        <v>1782</v>
      </c>
      <c r="L1718" s="30">
        <v>43929</v>
      </c>
      <c r="M1718">
        <v>23550</v>
      </c>
    </row>
    <row r="1719" spans="2:13" x14ac:dyDescent="0.55000000000000004">
      <c r="B1719" s="30">
        <v>43144</v>
      </c>
      <c r="C1719">
        <v>1778</v>
      </c>
      <c r="L1719" s="30">
        <v>43928</v>
      </c>
      <c r="M1719">
        <v>23450</v>
      </c>
    </row>
    <row r="1720" spans="2:13" x14ac:dyDescent="0.55000000000000004">
      <c r="B1720" s="30">
        <v>43143</v>
      </c>
      <c r="C1720">
        <v>1769</v>
      </c>
      <c r="L1720" s="30">
        <v>43927</v>
      </c>
      <c r="M1720">
        <v>23440</v>
      </c>
    </row>
    <row r="1721" spans="2:13" x14ac:dyDescent="0.55000000000000004">
      <c r="B1721" s="30">
        <v>43140</v>
      </c>
      <c r="C1721">
        <v>1769</v>
      </c>
      <c r="L1721" s="30">
        <v>43924</v>
      </c>
      <c r="M1721">
        <v>23550</v>
      </c>
    </row>
    <row r="1722" spans="2:13" x14ac:dyDescent="0.55000000000000004">
      <c r="B1722" s="30">
        <v>43139</v>
      </c>
      <c r="C1722">
        <v>1768</v>
      </c>
      <c r="L1722" s="30">
        <v>43923</v>
      </c>
      <c r="M1722">
        <v>23590</v>
      </c>
    </row>
    <row r="1723" spans="2:13" x14ac:dyDescent="0.55000000000000004">
      <c r="B1723" s="30">
        <v>43138</v>
      </c>
      <c r="C1723">
        <v>1761</v>
      </c>
      <c r="L1723" s="30">
        <v>43922</v>
      </c>
      <c r="M1723">
        <v>23590</v>
      </c>
    </row>
    <row r="1724" spans="2:13" x14ac:dyDescent="0.55000000000000004">
      <c r="B1724" s="30">
        <v>43137</v>
      </c>
      <c r="C1724">
        <v>1770</v>
      </c>
      <c r="L1724" s="30">
        <v>43921</v>
      </c>
      <c r="M1724">
        <v>23616</v>
      </c>
    </row>
    <row r="1725" spans="2:13" x14ac:dyDescent="0.55000000000000004">
      <c r="B1725" s="30">
        <v>43136</v>
      </c>
      <c r="C1725">
        <v>1752</v>
      </c>
      <c r="L1725" s="30">
        <v>43920</v>
      </c>
      <c r="M1725">
        <v>23640</v>
      </c>
    </row>
    <row r="1726" spans="2:13" x14ac:dyDescent="0.55000000000000004">
      <c r="B1726" s="30">
        <v>43133</v>
      </c>
      <c r="C1726">
        <v>1745</v>
      </c>
      <c r="L1726" s="30">
        <v>43917</v>
      </c>
      <c r="M1726">
        <v>23620</v>
      </c>
    </row>
    <row r="1727" spans="2:13" x14ac:dyDescent="0.55000000000000004">
      <c r="B1727" s="30">
        <v>43132</v>
      </c>
      <c r="C1727">
        <v>1752</v>
      </c>
      <c r="L1727" s="30">
        <v>43916</v>
      </c>
      <c r="M1727">
        <v>23620</v>
      </c>
    </row>
    <row r="1728" spans="2:13" x14ac:dyDescent="0.55000000000000004">
      <c r="B1728" s="30">
        <v>43131</v>
      </c>
      <c r="C1728">
        <v>1762</v>
      </c>
      <c r="L1728" s="30">
        <v>43915</v>
      </c>
      <c r="M1728">
        <v>23600</v>
      </c>
    </row>
    <row r="1729" spans="2:13" x14ac:dyDescent="0.55000000000000004">
      <c r="B1729" s="30">
        <v>43130</v>
      </c>
      <c r="C1729">
        <v>1728</v>
      </c>
      <c r="L1729" s="30">
        <v>43914</v>
      </c>
      <c r="M1729">
        <v>23580</v>
      </c>
    </row>
    <row r="1730" spans="2:13" x14ac:dyDescent="0.55000000000000004">
      <c r="B1730" s="30">
        <v>43129</v>
      </c>
      <c r="C1730">
        <v>1757</v>
      </c>
      <c r="L1730" s="30">
        <v>43913</v>
      </c>
      <c r="M1730">
        <v>23540</v>
      </c>
    </row>
    <row r="1731" spans="2:13" x14ac:dyDescent="0.55000000000000004">
      <c r="B1731" s="30">
        <v>43126</v>
      </c>
      <c r="C1731">
        <v>1767</v>
      </c>
      <c r="L1731" s="30">
        <v>43910</v>
      </c>
      <c r="M1731">
        <v>23455</v>
      </c>
    </row>
    <row r="1732" spans="2:13" x14ac:dyDescent="0.55000000000000004">
      <c r="B1732" s="30">
        <v>43125</v>
      </c>
      <c r="C1732">
        <v>1763</v>
      </c>
      <c r="L1732" s="30">
        <v>43909</v>
      </c>
      <c r="M1732">
        <v>23354</v>
      </c>
    </row>
    <row r="1733" spans="2:13" x14ac:dyDescent="0.55000000000000004">
      <c r="B1733" s="30">
        <v>43124</v>
      </c>
      <c r="C1733">
        <v>1775</v>
      </c>
      <c r="L1733" s="30">
        <v>43908</v>
      </c>
      <c r="M1733">
        <v>23282</v>
      </c>
    </row>
    <row r="1734" spans="2:13" x14ac:dyDescent="0.55000000000000004">
      <c r="B1734" s="30">
        <v>43123</v>
      </c>
      <c r="C1734">
        <v>1749</v>
      </c>
      <c r="L1734" s="30">
        <v>43907</v>
      </c>
      <c r="M1734">
        <v>23238</v>
      </c>
    </row>
    <row r="1735" spans="2:13" x14ac:dyDescent="0.55000000000000004">
      <c r="B1735" s="30">
        <v>43122</v>
      </c>
      <c r="C1735">
        <v>1767</v>
      </c>
      <c r="L1735" s="30">
        <v>43906</v>
      </c>
      <c r="M1735">
        <v>23225</v>
      </c>
    </row>
    <row r="1736" spans="2:13" x14ac:dyDescent="0.55000000000000004">
      <c r="B1736" s="30">
        <v>43119</v>
      </c>
      <c r="C1736">
        <v>1756</v>
      </c>
      <c r="L1736" s="30">
        <v>43903</v>
      </c>
      <c r="M1736">
        <v>23208</v>
      </c>
    </row>
    <row r="1737" spans="2:13" x14ac:dyDescent="0.55000000000000004">
      <c r="B1737" s="30">
        <v>43118</v>
      </c>
      <c r="C1737">
        <v>1793</v>
      </c>
      <c r="L1737" s="30">
        <v>43902</v>
      </c>
      <c r="M1737">
        <v>23195</v>
      </c>
    </row>
    <row r="1738" spans="2:13" x14ac:dyDescent="0.55000000000000004">
      <c r="B1738" s="30">
        <v>43117</v>
      </c>
      <c r="C1738">
        <v>1769</v>
      </c>
      <c r="L1738" s="30">
        <v>43901</v>
      </c>
      <c r="M1738">
        <v>23172</v>
      </c>
    </row>
    <row r="1739" spans="2:13" x14ac:dyDescent="0.55000000000000004">
      <c r="B1739" s="30">
        <v>43116</v>
      </c>
      <c r="C1739">
        <v>1727</v>
      </c>
      <c r="L1739" s="30">
        <v>43900</v>
      </c>
      <c r="M1739">
        <v>23174</v>
      </c>
    </row>
    <row r="1740" spans="2:13" x14ac:dyDescent="0.55000000000000004">
      <c r="B1740" s="30">
        <v>43115</v>
      </c>
      <c r="C1740">
        <v>1729</v>
      </c>
      <c r="L1740" s="30">
        <v>43899</v>
      </c>
      <c r="M1740">
        <v>23172</v>
      </c>
    </row>
    <row r="1741" spans="2:13" x14ac:dyDescent="0.55000000000000004">
      <c r="B1741" s="30">
        <v>43112</v>
      </c>
      <c r="C1741">
        <v>1728</v>
      </c>
      <c r="L1741" s="30">
        <v>43896</v>
      </c>
      <c r="M1741">
        <v>23205</v>
      </c>
    </row>
    <row r="1742" spans="2:13" x14ac:dyDescent="0.55000000000000004">
      <c r="B1742" s="30">
        <v>43111</v>
      </c>
      <c r="C1742">
        <v>1727</v>
      </c>
      <c r="L1742" s="30">
        <v>43895</v>
      </c>
      <c r="M1742">
        <v>23210</v>
      </c>
    </row>
    <row r="1743" spans="2:13" x14ac:dyDescent="0.55000000000000004">
      <c r="B1743" s="30">
        <v>43110</v>
      </c>
      <c r="C1743">
        <v>1726</v>
      </c>
      <c r="L1743" s="30">
        <v>43894</v>
      </c>
      <c r="M1743">
        <v>23206</v>
      </c>
    </row>
    <row r="1744" spans="2:13" x14ac:dyDescent="0.55000000000000004">
      <c r="B1744" s="30">
        <v>43109</v>
      </c>
      <c r="C1744">
        <v>1724</v>
      </c>
      <c r="L1744" s="30">
        <v>43893</v>
      </c>
      <c r="M1744">
        <v>23218</v>
      </c>
    </row>
    <row r="1745" spans="2:13" x14ac:dyDescent="0.55000000000000004">
      <c r="B1745" s="30">
        <v>43108</v>
      </c>
      <c r="C1745">
        <v>1686</v>
      </c>
      <c r="L1745" s="30">
        <v>43892</v>
      </c>
      <c r="M1745">
        <v>23240</v>
      </c>
    </row>
    <row r="1746" spans="2:13" x14ac:dyDescent="0.55000000000000004">
      <c r="B1746" s="30">
        <v>43105</v>
      </c>
      <c r="C1746">
        <v>1724</v>
      </c>
      <c r="L1746" s="30">
        <v>43889</v>
      </c>
      <c r="M1746">
        <v>23240</v>
      </c>
    </row>
    <row r="1747" spans="2:13" x14ac:dyDescent="0.55000000000000004">
      <c r="B1747" s="30">
        <v>43104</v>
      </c>
      <c r="C1747">
        <v>1728</v>
      </c>
      <c r="L1747" s="30">
        <v>43888</v>
      </c>
      <c r="M1747">
        <v>23240</v>
      </c>
    </row>
    <row r="1748" spans="2:13" x14ac:dyDescent="0.55000000000000004">
      <c r="B1748" s="30">
        <v>43103</v>
      </c>
      <c r="C1748">
        <v>1735</v>
      </c>
      <c r="L1748" s="30">
        <v>43887</v>
      </c>
      <c r="M1748">
        <v>23240</v>
      </c>
    </row>
    <row r="1749" spans="2:13" x14ac:dyDescent="0.55000000000000004">
      <c r="B1749" s="30">
        <v>43102</v>
      </c>
      <c r="C1749">
        <v>1733</v>
      </c>
      <c r="L1749" s="30">
        <v>43886</v>
      </c>
      <c r="M1749">
        <v>23270</v>
      </c>
    </row>
    <row r="1750" spans="2:13" x14ac:dyDescent="0.55000000000000004">
      <c r="B1750" s="30">
        <v>43098</v>
      </c>
      <c r="C1750">
        <v>1718</v>
      </c>
      <c r="L1750" s="30">
        <v>43885</v>
      </c>
      <c r="M1750">
        <v>23247</v>
      </c>
    </row>
    <row r="1751" spans="2:13" x14ac:dyDescent="0.55000000000000004">
      <c r="B1751" s="30">
        <v>43097</v>
      </c>
      <c r="C1751">
        <v>1715</v>
      </c>
      <c r="L1751" s="30">
        <v>43882</v>
      </c>
      <c r="M1751">
        <v>23242</v>
      </c>
    </row>
    <row r="1752" spans="2:13" x14ac:dyDescent="0.55000000000000004">
      <c r="B1752" s="30">
        <v>43096</v>
      </c>
      <c r="C1752">
        <v>1711</v>
      </c>
      <c r="L1752" s="30">
        <v>43881</v>
      </c>
      <c r="M1752">
        <v>23236</v>
      </c>
    </row>
    <row r="1753" spans="2:13" x14ac:dyDescent="0.55000000000000004">
      <c r="B1753" s="30">
        <v>43091</v>
      </c>
      <c r="C1753">
        <v>1712</v>
      </c>
      <c r="L1753" s="30">
        <v>43880</v>
      </c>
      <c r="M1753">
        <v>23225</v>
      </c>
    </row>
    <row r="1754" spans="2:13" x14ac:dyDescent="0.55000000000000004">
      <c r="B1754" s="30">
        <v>43090</v>
      </c>
      <c r="C1754">
        <v>1705</v>
      </c>
      <c r="L1754" s="30">
        <v>43879</v>
      </c>
      <c r="M1754">
        <v>23239</v>
      </c>
    </row>
    <row r="1755" spans="2:13" x14ac:dyDescent="0.55000000000000004">
      <c r="B1755" s="30">
        <v>43089</v>
      </c>
      <c r="C1755">
        <v>1713</v>
      </c>
      <c r="L1755" s="30">
        <v>43878</v>
      </c>
      <c r="M1755">
        <v>23228</v>
      </c>
    </row>
    <row r="1756" spans="2:13" x14ac:dyDescent="0.55000000000000004">
      <c r="B1756" s="30">
        <v>43088</v>
      </c>
      <c r="C1756">
        <v>1713</v>
      </c>
      <c r="L1756" s="30">
        <v>43875</v>
      </c>
      <c r="M1756">
        <v>23245</v>
      </c>
    </row>
    <row r="1757" spans="2:13" x14ac:dyDescent="0.55000000000000004">
      <c r="B1757" s="30">
        <v>43087</v>
      </c>
      <c r="C1757">
        <v>1726</v>
      </c>
      <c r="L1757" s="30">
        <v>43874</v>
      </c>
      <c r="M1757">
        <v>23239</v>
      </c>
    </row>
    <row r="1758" spans="2:13" x14ac:dyDescent="0.55000000000000004">
      <c r="B1758" s="30">
        <v>43084</v>
      </c>
      <c r="C1758">
        <v>1723</v>
      </c>
      <c r="L1758" s="30">
        <v>43873</v>
      </c>
      <c r="M1758">
        <v>23250</v>
      </c>
    </row>
    <row r="1759" spans="2:13" x14ac:dyDescent="0.55000000000000004">
      <c r="B1759" s="30">
        <v>43083</v>
      </c>
      <c r="C1759">
        <v>1740</v>
      </c>
      <c r="L1759" s="30">
        <v>43872</v>
      </c>
      <c r="M1759">
        <v>23240</v>
      </c>
    </row>
    <row r="1760" spans="2:13" x14ac:dyDescent="0.55000000000000004">
      <c r="B1760" s="30">
        <v>43082</v>
      </c>
      <c r="C1760">
        <v>1713</v>
      </c>
      <c r="L1760" s="30">
        <v>43871</v>
      </c>
      <c r="M1760">
        <v>23258</v>
      </c>
    </row>
    <row r="1761" spans="2:13" x14ac:dyDescent="0.55000000000000004">
      <c r="B1761" s="30">
        <v>43081</v>
      </c>
      <c r="C1761">
        <v>1680</v>
      </c>
      <c r="L1761" s="30">
        <v>43868</v>
      </c>
      <c r="M1761">
        <v>23230</v>
      </c>
    </row>
    <row r="1762" spans="2:13" x14ac:dyDescent="0.55000000000000004">
      <c r="B1762" s="30">
        <v>43080</v>
      </c>
      <c r="C1762">
        <v>1720</v>
      </c>
      <c r="L1762" s="30">
        <v>43867</v>
      </c>
      <c r="M1762">
        <v>23221</v>
      </c>
    </row>
    <row r="1763" spans="2:13" x14ac:dyDescent="0.55000000000000004">
      <c r="B1763" s="30">
        <v>43077</v>
      </c>
      <c r="C1763">
        <v>1740</v>
      </c>
      <c r="L1763" s="30">
        <v>43866</v>
      </c>
      <c r="M1763">
        <v>23220</v>
      </c>
    </row>
    <row r="1764" spans="2:13" x14ac:dyDescent="0.55000000000000004">
      <c r="B1764" s="30">
        <v>43076</v>
      </c>
      <c r="C1764">
        <v>1723</v>
      </c>
      <c r="L1764" s="30">
        <v>43865</v>
      </c>
      <c r="M1764">
        <v>23230</v>
      </c>
    </row>
    <row r="1765" spans="2:13" x14ac:dyDescent="0.55000000000000004">
      <c r="B1765" s="30">
        <v>43075</v>
      </c>
      <c r="C1765">
        <v>1744</v>
      </c>
      <c r="L1765" s="30">
        <v>43864</v>
      </c>
      <c r="M1765">
        <v>23250</v>
      </c>
    </row>
    <row r="1766" spans="2:13" x14ac:dyDescent="0.55000000000000004">
      <c r="B1766" s="30">
        <v>43074</v>
      </c>
      <c r="C1766">
        <v>1747</v>
      </c>
      <c r="L1766" s="30">
        <v>43861</v>
      </c>
      <c r="M1766">
        <v>23222</v>
      </c>
    </row>
    <row r="1767" spans="2:13" x14ac:dyDescent="0.55000000000000004">
      <c r="B1767" s="30">
        <v>43073</v>
      </c>
      <c r="C1767">
        <v>1720</v>
      </c>
      <c r="L1767" s="30">
        <v>43860</v>
      </c>
      <c r="M1767">
        <v>23182</v>
      </c>
    </row>
    <row r="1768" spans="2:13" x14ac:dyDescent="0.55000000000000004">
      <c r="B1768" s="30">
        <v>43070</v>
      </c>
      <c r="C1768">
        <v>1750</v>
      </c>
      <c r="L1768" s="30">
        <v>43859</v>
      </c>
      <c r="M1768">
        <v>23169</v>
      </c>
    </row>
    <row r="1769" spans="2:13" x14ac:dyDescent="0.55000000000000004">
      <c r="B1769" s="30">
        <v>43069</v>
      </c>
      <c r="C1769">
        <v>1726</v>
      </c>
      <c r="L1769" s="30">
        <v>43858</v>
      </c>
      <c r="M1769">
        <v>23169</v>
      </c>
    </row>
    <row r="1770" spans="2:13" x14ac:dyDescent="0.55000000000000004">
      <c r="B1770" s="30">
        <v>43068</v>
      </c>
      <c r="C1770">
        <v>1766</v>
      </c>
      <c r="L1770" s="30">
        <v>43857</v>
      </c>
      <c r="M1770">
        <v>23169</v>
      </c>
    </row>
    <row r="1771" spans="2:13" x14ac:dyDescent="0.55000000000000004">
      <c r="B1771" s="30">
        <v>43067</v>
      </c>
      <c r="C1771">
        <v>1743</v>
      </c>
      <c r="L1771" s="30">
        <v>43854</v>
      </c>
      <c r="M1771">
        <v>23169</v>
      </c>
    </row>
    <row r="1772" spans="2:13" x14ac:dyDescent="0.55000000000000004">
      <c r="B1772" s="30">
        <v>43066</v>
      </c>
      <c r="C1772">
        <v>1720</v>
      </c>
      <c r="L1772" s="30">
        <v>43853</v>
      </c>
      <c r="M1772">
        <v>23169</v>
      </c>
    </row>
    <row r="1773" spans="2:13" x14ac:dyDescent="0.55000000000000004">
      <c r="B1773" s="30">
        <v>43063</v>
      </c>
      <c r="C1773">
        <v>1749</v>
      </c>
      <c r="L1773" s="30">
        <v>43852</v>
      </c>
      <c r="M1773">
        <v>23169</v>
      </c>
    </row>
    <row r="1774" spans="2:13" x14ac:dyDescent="0.55000000000000004">
      <c r="B1774" s="30">
        <v>43062</v>
      </c>
      <c r="C1774">
        <v>1756</v>
      </c>
      <c r="L1774" s="30">
        <v>43851</v>
      </c>
      <c r="M1774">
        <v>23170</v>
      </c>
    </row>
    <row r="1775" spans="2:13" x14ac:dyDescent="0.55000000000000004">
      <c r="B1775" s="30">
        <v>43061</v>
      </c>
      <c r="C1775">
        <v>1757</v>
      </c>
      <c r="L1775" s="30">
        <v>43850</v>
      </c>
      <c r="M1775">
        <v>23169</v>
      </c>
    </row>
    <row r="1776" spans="2:13" x14ac:dyDescent="0.55000000000000004">
      <c r="B1776" s="30">
        <v>43060</v>
      </c>
      <c r="C1776">
        <v>1801</v>
      </c>
      <c r="L1776" s="30">
        <v>43847</v>
      </c>
      <c r="M1776">
        <v>23170</v>
      </c>
    </row>
    <row r="1777" spans="2:13" x14ac:dyDescent="0.55000000000000004">
      <c r="B1777" s="30">
        <v>43059</v>
      </c>
      <c r="C1777">
        <v>1810</v>
      </c>
      <c r="L1777" s="30">
        <v>43846</v>
      </c>
      <c r="M1777">
        <v>23171</v>
      </c>
    </row>
    <row r="1778" spans="2:13" x14ac:dyDescent="0.55000000000000004">
      <c r="B1778" s="30">
        <v>43056</v>
      </c>
      <c r="C1778">
        <v>1824</v>
      </c>
      <c r="L1778" s="30">
        <v>43845</v>
      </c>
      <c r="M1778">
        <v>23170</v>
      </c>
    </row>
    <row r="1779" spans="2:13" x14ac:dyDescent="0.55000000000000004">
      <c r="B1779" s="30">
        <v>43055</v>
      </c>
      <c r="C1779">
        <v>1845</v>
      </c>
      <c r="L1779" s="30">
        <v>43844</v>
      </c>
      <c r="M1779">
        <v>23175</v>
      </c>
    </row>
    <row r="1780" spans="2:13" x14ac:dyDescent="0.55000000000000004">
      <c r="B1780" s="30">
        <v>43054</v>
      </c>
      <c r="C1780">
        <v>1847</v>
      </c>
      <c r="L1780" s="30">
        <v>43843</v>
      </c>
      <c r="M1780">
        <v>23173</v>
      </c>
    </row>
    <row r="1781" spans="2:13" x14ac:dyDescent="0.55000000000000004">
      <c r="B1781" s="30">
        <v>43053</v>
      </c>
      <c r="C1781">
        <v>1836</v>
      </c>
      <c r="L1781" s="30">
        <v>43840</v>
      </c>
      <c r="M1781">
        <v>23176</v>
      </c>
    </row>
    <row r="1782" spans="2:13" x14ac:dyDescent="0.55000000000000004">
      <c r="B1782" s="30">
        <v>43052</v>
      </c>
      <c r="C1782">
        <v>1824</v>
      </c>
      <c r="L1782" s="30">
        <v>43839</v>
      </c>
      <c r="M1782">
        <v>23173</v>
      </c>
    </row>
    <row r="1783" spans="2:13" x14ac:dyDescent="0.55000000000000004">
      <c r="B1783" s="30">
        <v>43049</v>
      </c>
      <c r="C1783">
        <v>1816</v>
      </c>
      <c r="L1783" s="30">
        <v>43838</v>
      </c>
      <c r="M1783">
        <v>23175</v>
      </c>
    </row>
    <row r="1784" spans="2:13" x14ac:dyDescent="0.55000000000000004">
      <c r="B1784" s="30">
        <v>43048</v>
      </c>
      <c r="C1784">
        <v>1824</v>
      </c>
      <c r="L1784" s="30">
        <v>43837</v>
      </c>
      <c r="M1784">
        <v>23175</v>
      </c>
    </row>
    <row r="1785" spans="2:13" x14ac:dyDescent="0.55000000000000004">
      <c r="B1785" s="30">
        <v>43047</v>
      </c>
      <c r="C1785">
        <v>1810</v>
      </c>
      <c r="L1785" s="30">
        <v>43836</v>
      </c>
      <c r="M1785">
        <v>23176</v>
      </c>
    </row>
    <row r="1786" spans="2:13" x14ac:dyDescent="0.55000000000000004">
      <c r="B1786" s="30">
        <v>43046</v>
      </c>
      <c r="C1786">
        <v>1824</v>
      </c>
      <c r="L1786" s="30">
        <v>43833</v>
      </c>
      <c r="M1786">
        <v>23171</v>
      </c>
    </row>
    <row r="1787" spans="2:13" x14ac:dyDescent="0.55000000000000004">
      <c r="B1787" s="30">
        <v>43045</v>
      </c>
      <c r="C1787">
        <v>1855</v>
      </c>
      <c r="L1787" s="30">
        <v>43832</v>
      </c>
      <c r="M1787">
        <v>23168</v>
      </c>
    </row>
    <row r="1788" spans="2:13" x14ac:dyDescent="0.55000000000000004">
      <c r="B1788" s="30">
        <v>43042</v>
      </c>
      <c r="C1788">
        <v>1856</v>
      </c>
      <c r="L1788" s="30">
        <v>43831</v>
      </c>
      <c r="M1788">
        <v>23171</v>
      </c>
    </row>
    <row r="1789" spans="2:13" x14ac:dyDescent="0.55000000000000004">
      <c r="B1789" s="30">
        <v>43041</v>
      </c>
      <c r="C1789">
        <v>1870</v>
      </c>
      <c r="L1789" s="30">
        <v>43830</v>
      </c>
      <c r="M1789">
        <v>23171</v>
      </c>
    </row>
    <row r="1790" spans="2:13" x14ac:dyDescent="0.55000000000000004">
      <c r="B1790" s="30">
        <v>43040</v>
      </c>
      <c r="C1790">
        <v>1838</v>
      </c>
      <c r="L1790" s="30">
        <v>43829</v>
      </c>
      <c r="M1790">
        <v>23170</v>
      </c>
    </row>
    <row r="1791" spans="2:13" x14ac:dyDescent="0.55000000000000004">
      <c r="B1791" s="30">
        <v>43039</v>
      </c>
      <c r="C1791">
        <v>1878</v>
      </c>
      <c r="L1791" s="30">
        <v>43826</v>
      </c>
      <c r="M1791">
        <v>23171</v>
      </c>
    </row>
    <row r="1792" spans="2:13" x14ac:dyDescent="0.55000000000000004">
      <c r="B1792" s="30">
        <v>43038</v>
      </c>
      <c r="C1792">
        <v>1910</v>
      </c>
      <c r="L1792" s="30">
        <v>43825</v>
      </c>
      <c r="M1792">
        <v>23174</v>
      </c>
    </row>
    <row r="1793" spans="2:13" x14ac:dyDescent="0.55000000000000004">
      <c r="B1793" s="30">
        <v>43035</v>
      </c>
      <c r="C1793">
        <v>1944</v>
      </c>
      <c r="L1793" s="30">
        <v>43824</v>
      </c>
      <c r="M1793">
        <v>23173</v>
      </c>
    </row>
    <row r="1794" spans="2:13" x14ac:dyDescent="0.55000000000000004">
      <c r="B1794" s="30">
        <v>43034</v>
      </c>
      <c r="C1794">
        <v>1949</v>
      </c>
      <c r="L1794" s="30">
        <v>43823</v>
      </c>
      <c r="M1794">
        <v>23176</v>
      </c>
    </row>
    <row r="1795" spans="2:13" x14ac:dyDescent="0.55000000000000004">
      <c r="B1795" s="30">
        <v>43033</v>
      </c>
      <c r="C1795">
        <v>1961</v>
      </c>
      <c r="L1795" s="30">
        <v>43822</v>
      </c>
      <c r="M1795">
        <v>23173</v>
      </c>
    </row>
    <row r="1796" spans="2:13" x14ac:dyDescent="0.55000000000000004">
      <c r="B1796" s="30">
        <v>43032</v>
      </c>
      <c r="C1796">
        <v>1945</v>
      </c>
      <c r="L1796" s="30">
        <v>43819</v>
      </c>
      <c r="M1796">
        <v>23175</v>
      </c>
    </row>
    <row r="1797" spans="2:13" x14ac:dyDescent="0.55000000000000004">
      <c r="B1797" s="30">
        <v>43031</v>
      </c>
      <c r="C1797">
        <v>1968</v>
      </c>
      <c r="L1797" s="30">
        <v>43818</v>
      </c>
      <c r="M1797">
        <v>23169</v>
      </c>
    </row>
    <row r="1798" spans="2:13" x14ac:dyDescent="0.55000000000000004">
      <c r="B1798" s="30">
        <v>43028</v>
      </c>
      <c r="C1798">
        <v>1965</v>
      </c>
      <c r="L1798" s="30">
        <v>43817</v>
      </c>
      <c r="M1798">
        <v>23173</v>
      </c>
    </row>
    <row r="1799" spans="2:13" x14ac:dyDescent="0.55000000000000004">
      <c r="B1799" s="30">
        <v>43027</v>
      </c>
      <c r="C1799">
        <v>1973</v>
      </c>
      <c r="L1799" s="30">
        <v>43816</v>
      </c>
      <c r="M1799">
        <v>23176</v>
      </c>
    </row>
    <row r="1800" spans="2:13" x14ac:dyDescent="0.55000000000000004">
      <c r="B1800" s="30">
        <v>43026</v>
      </c>
      <c r="C1800">
        <v>1949</v>
      </c>
      <c r="L1800" s="30">
        <v>43815</v>
      </c>
      <c r="M1800">
        <v>23176</v>
      </c>
    </row>
    <row r="1801" spans="2:13" x14ac:dyDescent="0.55000000000000004">
      <c r="B1801" s="30">
        <v>43025</v>
      </c>
      <c r="C1801">
        <v>1944</v>
      </c>
      <c r="L1801" s="30">
        <v>43812</v>
      </c>
      <c r="M1801">
        <v>23173</v>
      </c>
    </row>
    <row r="1802" spans="2:13" x14ac:dyDescent="0.55000000000000004">
      <c r="B1802" s="30">
        <v>43024</v>
      </c>
      <c r="C1802">
        <v>1954</v>
      </c>
      <c r="L1802" s="30">
        <v>43811</v>
      </c>
      <c r="M1802">
        <v>23169</v>
      </c>
    </row>
    <row r="1803" spans="2:13" x14ac:dyDescent="0.55000000000000004">
      <c r="B1803" s="30">
        <v>43021</v>
      </c>
      <c r="C1803">
        <v>1982</v>
      </c>
      <c r="L1803" s="30">
        <v>43810</v>
      </c>
      <c r="M1803">
        <v>23175</v>
      </c>
    </row>
    <row r="1804" spans="2:13" x14ac:dyDescent="0.55000000000000004">
      <c r="B1804" s="30">
        <v>43020</v>
      </c>
      <c r="C1804">
        <v>1968</v>
      </c>
      <c r="L1804" s="30">
        <v>43809</v>
      </c>
      <c r="M1804">
        <v>23170</v>
      </c>
    </row>
    <row r="1805" spans="2:13" x14ac:dyDescent="0.55000000000000004">
      <c r="B1805" s="30">
        <v>43019</v>
      </c>
      <c r="C1805">
        <v>1947</v>
      </c>
      <c r="L1805" s="30">
        <v>43808</v>
      </c>
      <c r="M1805">
        <v>23170</v>
      </c>
    </row>
    <row r="1806" spans="2:13" x14ac:dyDescent="0.55000000000000004">
      <c r="B1806" s="30">
        <v>43018</v>
      </c>
      <c r="C1806">
        <v>1981</v>
      </c>
      <c r="L1806" s="30">
        <v>43805</v>
      </c>
      <c r="M1806">
        <v>23175</v>
      </c>
    </row>
    <row r="1807" spans="2:13" x14ac:dyDescent="0.55000000000000004">
      <c r="B1807" s="30">
        <v>43017</v>
      </c>
      <c r="C1807">
        <v>1974</v>
      </c>
      <c r="L1807" s="30">
        <v>43804</v>
      </c>
      <c r="M1807">
        <v>23167</v>
      </c>
    </row>
    <row r="1808" spans="2:13" x14ac:dyDescent="0.55000000000000004">
      <c r="B1808" s="30">
        <v>43014</v>
      </c>
      <c r="C1808">
        <v>1989</v>
      </c>
      <c r="L1808" s="30">
        <v>43803</v>
      </c>
      <c r="M1808">
        <v>23170</v>
      </c>
    </row>
    <row r="1809" spans="2:13" x14ac:dyDescent="0.55000000000000004">
      <c r="B1809" s="30">
        <v>43013</v>
      </c>
      <c r="C1809">
        <v>1967</v>
      </c>
      <c r="L1809" s="30">
        <v>43802</v>
      </c>
      <c r="M1809">
        <v>23170</v>
      </c>
    </row>
    <row r="1810" spans="2:13" x14ac:dyDescent="0.55000000000000004">
      <c r="B1810" s="30">
        <v>43012</v>
      </c>
      <c r="C1810">
        <v>1977</v>
      </c>
      <c r="L1810" s="30">
        <v>43801</v>
      </c>
      <c r="M1810">
        <v>23175</v>
      </c>
    </row>
    <row r="1811" spans="2:13" x14ac:dyDescent="0.55000000000000004">
      <c r="B1811" s="30">
        <v>43011</v>
      </c>
      <c r="C1811">
        <v>1982</v>
      </c>
      <c r="L1811" s="30">
        <v>43798</v>
      </c>
      <c r="M1811">
        <v>23179</v>
      </c>
    </row>
    <row r="1812" spans="2:13" x14ac:dyDescent="0.55000000000000004">
      <c r="B1812" s="30">
        <v>43010</v>
      </c>
      <c r="C1812">
        <v>1977</v>
      </c>
      <c r="L1812" s="30">
        <v>43797</v>
      </c>
      <c r="M1812">
        <v>23200</v>
      </c>
    </row>
    <row r="1813" spans="2:13" x14ac:dyDescent="0.55000000000000004">
      <c r="B1813" s="30">
        <v>43007</v>
      </c>
      <c r="C1813">
        <v>1968</v>
      </c>
      <c r="L1813" s="30">
        <v>43796</v>
      </c>
      <c r="M1813">
        <v>23200</v>
      </c>
    </row>
    <row r="1814" spans="2:13" x14ac:dyDescent="0.55000000000000004">
      <c r="B1814" s="30">
        <v>43006</v>
      </c>
      <c r="C1814">
        <v>1949</v>
      </c>
      <c r="L1814" s="30">
        <v>43795</v>
      </c>
      <c r="M1814">
        <v>23190</v>
      </c>
    </row>
    <row r="1815" spans="2:13" x14ac:dyDescent="0.55000000000000004">
      <c r="B1815" s="30">
        <v>43005</v>
      </c>
      <c r="C1815">
        <v>1950</v>
      </c>
      <c r="L1815" s="30">
        <v>43794</v>
      </c>
      <c r="M1815">
        <v>23197</v>
      </c>
    </row>
    <row r="1816" spans="2:13" x14ac:dyDescent="0.55000000000000004">
      <c r="B1816" s="30">
        <v>43004</v>
      </c>
      <c r="C1816">
        <v>1999</v>
      </c>
      <c r="L1816" s="30">
        <v>43791</v>
      </c>
      <c r="M1816">
        <v>23195</v>
      </c>
    </row>
    <row r="1817" spans="2:13" x14ac:dyDescent="0.55000000000000004">
      <c r="B1817" s="30">
        <v>43003</v>
      </c>
      <c r="C1817">
        <v>2006</v>
      </c>
      <c r="L1817" s="30">
        <v>43790</v>
      </c>
      <c r="M1817">
        <v>23193</v>
      </c>
    </row>
    <row r="1818" spans="2:13" x14ac:dyDescent="0.55000000000000004">
      <c r="B1818" s="30">
        <v>43000</v>
      </c>
      <c r="C1818">
        <v>2005</v>
      </c>
      <c r="L1818" s="30">
        <v>43789</v>
      </c>
      <c r="M1818">
        <v>23199</v>
      </c>
    </row>
    <row r="1819" spans="2:13" x14ac:dyDescent="0.55000000000000004">
      <c r="B1819" s="30">
        <v>42999</v>
      </c>
      <c r="C1819">
        <v>2012</v>
      </c>
      <c r="L1819" s="30">
        <v>43788</v>
      </c>
      <c r="M1819">
        <v>23200</v>
      </c>
    </row>
    <row r="1820" spans="2:13" x14ac:dyDescent="0.55000000000000004">
      <c r="B1820" s="30">
        <v>42998</v>
      </c>
      <c r="C1820">
        <v>2035</v>
      </c>
      <c r="L1820" s="30">
        <v>43787</v>
      </c>
      <c r="M1820">
        <v>23205</v>
      </c>
    </row>
    <row r="1821" spans="2:13" x14ac:dyDescent="0.55000000000000004">
      <c r="B1821" s="30">
        <v>42997</v>
      </c>
      <c r="C1821">
        <v>1983</v>
      </c>
      <c r="L1821" s="30">
        <v>43784</v>
      </c>
      <c r="M1821">
        <v>23204</v>
      </c>
    </row>
    <row r="1822" spans="2:13" x14ac:dyDescent="0.55000000000000004">
      <c r="B1822" s="30">
        <v>42996</v>
      </c>
      <c r="C1822">
        <v>2005</v>
      </c>
      <c r="L1822" s="30">
        <v>43783</v>
      </c>
      <c r="M1822">
        <v>23200</v>
      </c>
    </row>
    <row r="1823" spans="2:13" x14ac:dyDescent="0.55000000000000004">
      <c r="B1823" s="30">
        <v>42993</v>
      </c>
      <c r="C1823">
        <v>1992</v>
      </c>
      <c r="L1823" s="30">
        <v>43782</v>
      </c>
      <c r="M1823">
        <v>23199</v>
      </c>
    </row>
    <row r="1824" spans="2:13" x14ac:dyDescent="0.55000000000000004">
      <c r="B1824" s="30">
        <v>42992</v>
      </c>
      <c r="C1824">
        <v>1993</v>
      </c>
      <c r="L1824" s="30">
        <v>43781</v>
      </c>
      <c r="M1824">
        <v>23199</v>
      </c>
    </row>
    <row r="1825" spans="2:13" x14ac:dyDescent="0.55000000000000004">
      <c r="B1825" s="30">
        <v>42991</v>
      </c>
      <c r="C1825">
        <v>2003</v>
      </c>
      <c r="L1825" s="30">
        <v>43780</v>
      </c>
      <c r="M1825">
        <v>23200</v>
      </c>
    </row>
    <row r="1826" spans="2:13" x14ac:dyDescent="0.55000000000000004">
      <c r="B1826" s="30">
        <v>42990</v>
      </c>
      <c r="C1826">
        <v>1969</v>
      </c>
      <c r="L1826" s="30">
        <v>43777</v>
      </c>
      <c r="M1826">
        <v>23198</v>
      </c>
    </row>
    <row r="1827" spans="2:13" x14ac:dyDescent="0.55000000000000004">
      <c r="B1827" s="30">
        <v>42989</v>
      </c>
      <c r="C1827">
        <v>1951</v>
      </c>
      <c r="L1827" s="30">
        <v>43776</v>
      </c>
      <c r="M1827">
        <v>23199</v>
      </c>
    </row>
    <row r="1828" spans="2:13" x14ac:dyDescent="0.55000000000000004">
      <c r="B1828" s="30">
        <v>42986</v>
      </c>
      <c r="C1828">
        <v>1960</v>
      </c>
      <c r="L1828" s="30">
        <v>43775</v>
      </c>
      <c r="M1828">
        <v>23199</v>
      </c>
    </row>
    <row r="1829" spans="2:13" x14ac:dyDescent="0.55000000000000004">
      <c r="B1829" s="30">
        <v>42985</v>
      </c>
      <c r="C1829">
        <v>1950</v>
      </c>
      <c r="L1829" s="30">
        <v>43774</v>
      </c>
      <c r="M1829">
        <v>23199</v>
      </c>
    </row>
    <row r="1830" spans="2:13" x14ac:dyDescent="0.55000000000000004">
      <c r="B1830" s="30">
        <v>42984</v>
      </c>
      <c r="C1830">
        <v>1945</v>
      </c>
      <c r="L1830" s="30">
        <v>43773</v>
      </c>
      <c r="M1830">
        <v>23199</v>
      </c>
    </row>
    <row r="1831" spans="2:13" x14ac:dyDescent="0.55000000000000004">
      <c r="B1831" s="30">
        <v>42983</v>
      </c>
      <c r="C1831">
        <v>1969</v>
      </c>
      <c r="L1831" s="30">
        <v>43770</v>
      </c>
      <c r="M1831">
        <v>23200</v>
      </c>
    </row>
    <row r="1832" spans="2:13" x14ac:dyDescent="0.55000000000000004">
      <c r="B1832" s="30">
        <v>42982</v>
      </c>
      <c r="C1832">
        <v>2021</v>
      </c>
      <c r="L1832" s="30">
        <v>43769</v>
      </c>
      <c r="M1832">
        <v>23202</v>
      </c>
    </row>
    <row r="1833" spans="2:13" x14ac:dyDescent="0.55000000000000004">
      <c r="B1833" s="30">
        <v>42979</v>
      </c>
      <c r="C1833">
        <v>2059</v>
      </c>
      <c r="L1833" s="30">
        <v>43768</v>
      </c>
      <c r="M1833">
        <v>23200</v>
      </c>
    </row>
    <row r="1834" spans="2:13" x14ac:dyDescent="0.55000000000000004">
      <c r="B1834" s="30">
        <v>42978</v>
      </c>
      <c r="C1834">
        <v>2069</v>
      </c>
      <c r="L1834" s="30">
        <v>43767</v>
      </c>
      <c r="M1834">
        <v>23202</v>
      </c>
    </row>
    <row r="1835" spans="2:13" x14ac:dyDescent="0.55000000000000004">
      <c r="B1835" s="30">
        <v>42977</v>
      </c>
      <c r="C1835">
        <v>2075</v>
      </c>
      <c r="L1835" s="30">
        <v>43766</v>
      </c>
      <c r="M1835">
        <v>23200</v>
      </c>
    </row>
    <row r="1836" spans="2:13" x14ac:dyDescent="0.55000000000000004">
      <c r="B1836" s="30">
        <v>42976</v>
      </c>
      <c r="C1836">
        <v>2105</v>
      </c>
      <c r="L1836" s="30">
        <v>43763</v>
      </c>
      <c r="M1836">
        <v>23200</v>
      </c>
    </row>
    <row r="1837" spans="2:13" x14ac:dyDescent="0.55000000000000004">
      <c r="B1837" s="30">
        <v>42972</v>
      </c>
      <c r="C1837">
        <v>2112</v>
      </c>
      <c r="L1837" s="30">
        <v>43762</v>
      </c>
      <c r="M1837">
        <v>23203</v>
      </c>
    </row>
    <row r="1838" spans="2:13" x14ac:dyDescent="0.55000000000000004">
      <c r="B1838" s="30">
        <v>42971</v>
      </c>
      <c r="C1838">
        <v>2067</v>
      </c>
      <c r="L1838" s="30">
        <v>43761</v>
      </c>
      <c r="M1838">
        <v>23205</v>
      </c>
    </row>
    <row r="1839" spans="2:13" x14ac:dyDescent="0.55000000000000004">
      <c r="B1839" s="30">
        <v>42970</v>
      </c>
      <c r="C1839">
        <v>2100</v>
      </c>
      <c r="L1839" s="30">
        <v>43760</v>
      </c>
      <c r="M1839">
        <v>23201</v>
      </c>
    </row>
    <row r="1840" spans="2:13" x14ac:dyDescent="0.55000000000000004">
      <c r="B1840" s="30">
        <v>42969</v>
      </c>
      <c r="C1840">
        <v>2135</v>
      </c>
      <c r="L1840" s="30">
        <v>43759</v>
      </c>
      <c r="M1840">
        <v>23205</v>
      </c>
    </row>
    <row r="1841" spans="2:13" x14ac:dyDescent="0.55000000000000004">
      <c r="B1841" s="30">
        <v>42968</v>
      </c>
      <c r="C1841">
        <v>2119</v>
      </c>
      <c r="L1841" s="30">
        <v>43756</v>
      </c>
      <c r="M1841">
        <v>23203</v>
      </c>
    </row>
    <row r="1842" spans="2:13" x14ac:dyDescent="0.55000000000000004">
      <c r="B1842" s="30">
        <v>42965</v>
      </c>
      <c r="C1842">
        <v>2101</v>
      </c>
      <c r="L1842" s="30">
        <v>43755</v>
      </c>
      <c r="M1842">
        <v>23206</v>
      </c>
    </row>
    <row r="1843" spans="2:13" x14ac:dyDescent="0.55000000000000004">
      <c r="B1843" s="30">
        <v>42964</v>
      </c>
      <c r="C1843">
        <v>2054</v>
      </c>
      <c r="L1843" s="30">
        <v>43754</v>
      </c>
      <c r="M1843">
        <v>23202</v>
      </c>
    </row>
    <row r="1844" spans="2:13" x14ac:dyDescent="0.55000000000000004">
      <c r="B1844" s="30">
        <v>42963</v>
      </c>
      <c r="C1844">
        <v>2054</v>
      </c>
      <c r="L1844" s="30">
        <v>43753</v>
      </c>
      <c r="M1844">
        <v>23201</v>
      </c>
    </row>
    <row r="1845" spans="2:13" x14ac:dyDescent="0.55000000000000004">
      <c r="B1845" s="30">
        <v>42962</v>
      </c>
      <c r="C1845">
        <v>2053</v>
      </c>
      <c r="L1845" s="30">
        <v>43752</v>
      </c>
      <c r="M1845">
        <v>23200</v>
      </c>
    </row>
    <row r="1846" spans="2:13" x14ac:dyDescent="0.55000000000000004">
      <c r="B1846" s="30">
        <v>42961</v>
      </c>
      <c r="C1846">
        <v>2100</v>
      </c>
      <c r="L1846" s="30">
        <v>43749</v>
      </c>
      <c r="M1846">
        <v>23200</v>
      </c>
    </row>
    <row r="1847" spans="2:13" x14ac:dyDescent="0.55000000000000004">
      <c r="B1847" s="30">
        <v>42958</v>
      </c>
      <c r="C1847">
        <v>2133</v>
      </c>
      <c r="L1847" s="30">
        <v>43748</v>
      </c>
      <c r="M1847">
        <v>23200</v>
      </c>
    </row>
    <row r="1848" spans="2:13" x14ac:dyDescent="0.55000000000000004">
      <c r="B1848" s="30">
        <v>42957</v>
      </c>
      <c r="C1848">
        <v>2089</v>
      </c>
      <c r="L1848" s="30">
        <v>43747</v>
      </c>
      <c r="M1848">
        <v>23225</v>
      </c>
    </row>
    <row r="1849" spans="2:13" x14ac:dyDescent="0.55000000000000004">
      <c r="B1849" s="30">
        <v>42956</v>
      </c>
      <c r="C1849">
        <v>2131</v>
      </c>
      <c r="L1849" s="30">
        <v>43746</v>
      </c>
      <c r="M1849">
        <v>23200</v>
      </c>
    </row>
    <row r="1850" spans="2:13" x14ac:dyDescent="0.55000000000000004">
      <c r="B1850" s="30">
        <v>42955</v>
      </c>
      <c r="C1850">
        <v>2157</v>
      </c>
      <c r="L1850" s="30">
        <v>43745</v>
      </c>
      <c r="M1850">
        <v>23200</v>
      </c>
    </row>
    <row r="1851" spans="2:13" x14ac:dyDescent="0.55000000000000004">
      <c r="B1851" s="30">
        <v>42954</v>
      </c>
      <c r="C1851">
        <v>2157</v>
      </c>
      <c r="L1851" s="30">
        <v>43742</v>
      </c>
      <c r="M1851">
        <v>23200</v>
      </c>
    </row>
    <row r="1852" spans="2:13" x14ac:dyDescent="0.55000000000000004">
      <c r="B1852" s="30">
        <v>42951</v>
      </c>
      <c r="C1852">
        <v>2133</v>
      </c>
      <c r="L1852" s="30">
        <v>43741</v>
      </c>
      <c r="M1852">
        <v>23200</v>
      </c>
    </row>
    <row r="1853" spans="2:13" x14ac:dyDescent="0.55000000000000004">
      <c r="B1853" s="30">
        <v>42950</v>
      </c>
      <c r="C1853">
        <v>2134</v>
      </c>
      <c r="L1853" s="30">
        <v>43740</v>
      </c>
      <c r="M1853">
        <v>23200</v>
      </c>
    </row>
    <row r="1854" spans="2:13" x14ac:dyDescent="0.55000000000000004">
      <c r="B1854" s="30">
        <v>42949</v>
      </c>
      <c r="C1854">
        <v>2136</v>
      </c>
      <c r="L1854" s="30">
        <v>43739</v>
      </c>
      <c r="M1854">
        <v>23201</v>
      </c>
    </row>
    <row r="1855" spans="2:13" x14ac:dyDescent="0.55000000000000004">
      <c r="B1855" s="30">
        <v>42948</v>
      </c>
      <c r="C1855">
        <v>2104</v>
      </c>
      <c r="L1855" s="30">
        <v>43738</v>
      </c>
      <c r="M1855">
        <v>23200</v>
      </c>
    </row>
    <row r="1856" spans="2:13" x14ac:dyDescent="0.55000000000000004">
      <c r="B1856" s="30">
        <v>42947</v>
      </c>
      <c r="C1856">
        <v>2123</v>
      </c>
      <c r="L1856" s="30">
        <v>43735</v>
      </c>
      <c r="M1856">
        <v>23200</v>
      </c>
    </row>
    <row r="1857" spans="2:13" x14ac:dyDescent="0.55000000000000004">
      <c r="B1857" s="30">
        <v>42944</v>
      </c>
      <c r="C1857">
        <v>2129</v>
      </c>
      <c r="L1857" s="30">
        <v>43734</v>
      </c>
      <c r="M1857">
        <v>23200</v>
      </c>
    </row>
    <row r="1858" spans="2:13" x14ac:dyDescent="0.55000000000000004">
      <c r="B1858" s="30">
        <v>42943</v>
      </c>
      <c r="C1858">
        <v>2141</v>
      </c>
      <c r="L1858" s="30">
        <v>43733</v>
      </c>
      <c r="M1858">
        <v>23200</v>
      </c>
    </row>
    <row r="1859" spans="2:13" x14ac:dyDescent="0.55000000000000004">
      <c r="B1859" s="30">
        <v>42942</v>
      </c>
      <c r="C1859">
        <v>2143</v>
      </c>
      <c r="L1859" s="30">
        <v>43732</v>
      </c>
      <c r="M1859">
        <v>23200</v>
      </c>
    </row>
    <row r="1860" spans="2:13" x14ac:dyDescent="0.55000000000000004">
      <c r="B1860" s="30">
        <v>42941</v>
      </c>
      <c r="C1860">
        <v>2100</v>
      </c>
      <c r="L1860" s="30">
        <v>43731</v>
      </c>
      <c r="M1860">
        <v>23202</v>
      </c>
    </row>
    <row r="1861" spans="2:13" x14ac:dyDescent="0.55000000000000004">
      <c r="B1861" s="30">
        <v>42940</v>
      </c>
      <c r="C1861">
        <v>2103</v>
      </c>
      <c r="L1861" s="30">
        <v>43728</v>
      </c>
      <c r="M1861">
        <v>23203</v>
      </c>
    </row>
    <row r="1862" spans="2:13" x14ac:dyDescent="0.55000000000000004">
      <c r="B1862" s="30">
        <v>42937</v>
      </c>
      <c r="C1862">
        <v>2143</v>
      </c>
      <c r="L1862" s="30">
        <v>43727</v>
      </c>
      <c r="M1862">
        <v>23211</v>
      </c>
    </row>
    <row r="1863" spans="2:13" x14ac:dyDescent="0.55000000000000004">
      <c r="B1863" s="30">
        <v>42936</v>
      </c>
      <c r="C1863">
        <v>2113</v>
      </c>
      <c r="L1863" s="30">
        <v>43726</v>
      </c>
      <c r="M1863">
        <v>23209</v>
      </c>
    </row>
    <row r="1864" spans="2:13" x14ac:dyDescent="0.55000000000000004">
      <c r="B1864" s="30">
        <v>42935</v>
      </c>
      <c r="C1864">
        <v>2110</v>
      </c>
      <c r="L1864" s="30">
        <v>43725</v>
      </c>
      <c r="M1864">
        <v>23225</v>
      </c>
    </row>
    <row r="1865" spans="2:13" x14ac:dyDescent="0.55000000000000004">
      <c r="B1865" s="30">
        <v>42934</v>
      </c>
      <c r="C1865">
        <v>2131</v>
      </c>
      <c r="L1865" s="30">
        <v>43724</v>
      </c>
      <c r="M1865">
        <v>23218</v>
      </c>
    </row>
    <row r="1866" spans="2:13" x14ac:dyDescent="0.55000000000000004">
      <c r="B1866" s="30">
        <v>42933</v>
      </c>
      <c r="C1866">
        <v>2126</v>
      </c>
      <c r="L1866" s="30">
        <v>43721</v>
      </c>
      <c r="M1866">
        <v>23205</v>
      </c>
    </row>
    <row r="1867" spans="2:13" x14ac:dyDescent="0.55000000000000004">
      <c r="B1867" s="30">
        <v>42930</v>
      </c>
      <c r="C1867">
        <v>2146</v>
      </c>
      <c r="L1867" s="30">
        <v>43720</v>
      </c>
      <c r="M1867">
        <v>23205</v>
      </c>
    </row>
    <row r="1868" spans="2:13" x14ac:dyDescent="0.55000000000000004">
      <c r="B1868" s="30">
        <v>42929</v>
      </c>
      <c r="C1868">
        <v>2145</v>
      </c>
      <c r="L1868" s="30">
        <v>43719</v>
      </c>
      <c r="M1868">
        <v>23199</v>
      </c>
    </row>
    <row r="1869" spans="2:13" x14ac:dyDescent="0.55000000000000004">
      <c r="B1869" s="30">
        <v>42928</v>
      </c>
      <c r="C1869">
        <v>2097</v>
      </c>
      <c r="L1869" s="30">
        <v>43718</v>
      </c>
      <c r="M1869">
        <v>23199</v>
      </c>
    </row>
    <row r="1870" spans="2:13" x14ac:dyDescent="0.55000000000000004">
      <c r="B1870" s="30">
        <v>42927</v>
      </c>
      <c r="C1870">
        <v>2072</v>
      </c>
      <c r="L1870" s="30">
        <v>43717</v>
      </c>
      <c r="M1870">
        <v>23199</v>
      </c>
    </row>
    <row r="1871" spans="2:13" x14ac:dyDescent="0.55000000000000004">
      <c r="B1871" s="30">
        <v>42926</v>
      </c>
      <c r="C1871">
        <v>2100</v>
      </c>
      <c r="L1871" s="30">
        <v>43714</v>
      </c>
      <c r="M1871">
        <v>23198</v>
      </c>
    </row>
    <row r="1872" spans="2:13" x14ac:dyDescent="0.55000000000000004">
      <c r="B1872" s="30">
        <v>42923</v>
      </c>
      <c r="C1872">
        <v>2111</v>
      </c>
      <c r="L1872" s="30">
        <v>43713</v>
      </c>
      <c r="M1872">
        <v>23198</v>
      </c>
    </row>
    <row r="1873" spans="2:13" x14ac:dyDescent="0.55000000000000004">
      <c r="B1873" s="30">
        <v>42922</v>
      </c>
      <c r="C1873">
        <v>2150</v>
      </c>
      <c r="L1873" s="30">
        <v>43712</v>
      </c>
      <c r="M1873">
        <v>23199</v>
      </c>
    </row>
    <row r="1874" spans="2:13" x14ac:dyDescent="0.55000000000000004">
      <c r="B1874" s="30">
        <v>42921</v>
      </c>
      <c r="C1874">
        <v>2157</v>
      </c>
      <c r="L1874" s="30">
        <v>43711</v>
      </c>
      <c r="M1874">
        <v>23198</v>
      </c>
    </row>
    <row r="1875" spans="2:13" x14ac:dyDescent="0.55000000000000004">
      <c r="B1875" s="30">
        <v>42920</v>
      </c>
      <c r="C1875">
        <v>2149</v>
      </c>
      <c r="L1875" s="30">
        <v>43710</v>
      </c>
      <c r="M1875">
        <v>23185</v>
      </c>
    </row>
    <row r="1876" spans="2:13" x14ac:dyDescent="0.55000000000000004">
      <c r="B1876" s="30">
        <v>42919</v>
      </c>
      <c r="C1876">
        <v>2146</v>
      </c>
      <c r="L1876" s="30">
        <v>43707</v>
      </c>
      <c r="M1876">
        <v>23185</v>
      </c>
    </row>
    <row r="1877" spans="2:13" x14ac:dyDescent="0.55000000000000004">
      <c r="B1877" s="30">
        <v>42916</v>
      </c>
      <c r="C1877">
        <v>2149</v>
      </c>
      <c r="L1877" s="30">
        <v>43706</v>
      </c>
      <c r="M1877">
        <v>23195</v>
      </c>
    </row>
    <row r="1878" spans="2:13" x14ac:dyDescent="0.55000000000000004">
      <c r="B1878" s="30">
        <v>42915</v>
      </c>
      <c r="C1878">
        <v>2132</v>
      </c>
      <c r="L1878" s="30">
        <v>43705</v>
      </c>
      <c r="M1878">
        <v>23206</v>
      </c>
    </row>
    <row r="1879" spans="2:13" x14ac:dyDescent="0.55000000000000004">
      <c r="B1879" s="30">
        <v>42914</v>
      </c>
      <c r="C1879">
        <v>2092</v>
      </c>
      <c r="L1879" s="30">
        <v>43704</v>
      </c>
      <c r="M1879">
        <v>23197</v>
      </c>
    </row>
    <row r="1880" spans="2:13" x14ac:dyDescent="0.55000000000000004">
      <c r="B1880" s="30">
        <v>42913</v>
      </c>
      <c r="C1880">
        <v>2086</v>
      </c>
      <c r="L1880" s="30">
        <v>43703</v>
      </c>
      <c r="M1880">
        <v>23198</v>
      </c>
    </row>
    <row r="1881" spans="2:13" x14ac:dyDescent="0.55000000000000004">
      <c r="B1881" s="30">
        <v>42912</v>
      </c>
      <c r="C1881">
        <v>2090</v>
      </c>
      <c r="L1881" s="30">
        <v>43700</v>
      </c>
      <c r="M1881">
        <v>23198</v>
      </c>
    </row>
    <row r="1882" spans="2:13" x14ac:dyDescent="0.55000000000000004">
      <c r="B1882" s="30">
        <v>42909</v>
      </c>
      <c r="C1882">
        <v>2078</v>
      </c>
      <c r="L1882" s="30">
        <v>43699</v>
      </c>
      <c r="M1882">
        <v>23200</v>
      </c>
    </row>
    <row r="1883" spans="2:13" x14ac:dyDescent="0.55000000000000004">
      <c r="B1883" s="30">
        <v>42908</v>
      </c>
      <c r="C1883">
        <v>2030</v>
      </c>
      <c r="L1883" s="30">
        <v>43698</v>
      </c>
      <c r="M1883">
        <v>23200</v>
      </c>
    </row>
    <row r="1884" spans="2:13" x14ac:dyDescent="0.55000000000000004">
      <c r="B1884" s="30">
        <v>42907</v>
      </c>
      <c r="C1884">
        <v>2072</v>
      </c>
      <c r="L1884" s="30">
        <v>43697</v>
      </c>
      <c r="M1884">
        <v>23203</v>
      </c>
    </row>
    <row r="1885" spans="2:13" x14ac:dyDescent="0.55000000000000004">
      <c r="B1885" s="30">
        <v>42906</v>
      </c>
      <c r="C1885">
        <v>2074</v>
      </c>
      <c r="L1885" s="30">
        <v>43696</v>
      </c>
      <c r="M1885">
        <v>23205</v>
      </c>
    </row>
    <row r="1886" spans="2:13" x14ac:dyDescent="0.55000000000000004">
      <c r="B1886" s="30">
        <v>42905</v>
      </c>
      <c r="C1886">
        <v>2108</v>
      </c>
      <c r="L1886" s="30">
        <v>43693</v>
      </c>
      <c r="M1886">
        <v>23211</v>
      </c>
    </row>
    <row r="1887" spans="2:13" x14ac:dyDescent="0.55000000000000004">
      <c r="B1887" s="30">
        <v>42902</v>
      </c>
      <c r="C1887">
        <v>2125</v>
      </c>
      <c r="L1887" s="30">
        <v>43692</v>
      </c>
      <c r="M1887">
        <v>23208</v>
      </c>
    </row>
    <row r="1888" spans="2:13" x14ac:dyDescent="0.55000000000000004">
      <c r="B1888" s="30">
        <v>42901</v>
      </c>
      <c r="C1888">
        <v>2105</v>
      </c>
      <c r="L1888" s="30">
        <v>43691</v>
      </c>
      <c r="M1888">
        <v>23200</v>
      </c>
    </row>
    <row r="1889" spans="2:13" x14ac:dyDescent="0.55000000000000004">
      <c r="B1889" s="30">
        <v>42900</v>
      </c>
      <c r="C1889">
        <v>2056</v>
      </c>
      <c r="L1889" s="30">
        <v>43690</v>
      </c>
      <c r="M1889">
        <v>23205</v>
      </c>
    </row>
    <row r="1890" spans="2:13" x14ac:dyDescent="0.55000000000000004">
      <c r="B1890" s="30">
        <v>42899</v>
      </c>
      <c r="C1890">
        <v>2040</v>
      </c>
      <c r="L1890" s="30">
        <v>43689</v>
      </c>
      <c r="M1890">
        <v>23197</v>
      </c>
    </row>
    <row r="1891" spans="2:13" x14ac:dyDescent="0.55000000000000004">
      <c r="B1891" s="30">
        <v>42898</v>
      </c>
      <c r="C1891">
        <v>2048</v>
      </c>
      <c r="L1891" s="30">
        <v>43686</v>
      </c>
      <c r="M1891">
        <v>23204</v>
      </c>
    </row>
    <row r="1892" spans="2:13" x14ac:dyDescent="0.55000000000000004">
      <c r="B1892" s="30">
        <v>42895</v>
      </c>
      <c r="C1892">
        <v>2021</v>
      </c>
      <c r="L1892" s="30">
        <v>43685</v>
      </c>
      <c r="M1892">
        <v>23220</v>
      </c>
    </row>
    <row r="1893" spans="2:13" x14ac:dyDescent="0.55000000000000004">
      <c r="B1893" s="30">
        <v>42894</v>
      </c>
      <c r="C1893">
        <v>2000</v>
      </c>
      <c r="L1893" s="30">
        <v>43684</v>
      </c>
      <c r="M1893">
        <v>23215</v>
      </c>
    </row>
    <row r="1894" spans="2:13" x14ac:dyDescent="0.55000000000000004">
      <c r="B1894" s="30">
        <v>42893</v>
      </c>
      <c r="C1894">
        <v>1991</v>
      </c>
      <c r="L1894" s="30">
        <v>43683</v>
      </c>
      <c r="M1894">
        <v>23250</v>
      </c>
    </row>
    <row r="1895" spans="2:13" x14ac:dyDescent="0.55000000000000004">
      <c r="B1895" s="30">
        <v>42892</v>
      </c>
      <c r="C1895">
        <v>2004</v>
      </c>
      <c r="L1895" s="30">
        <v>43682</v>
      </c>
      <c r="M1895">
        <v>23268</v>
      </c>
    </row>
    <row r="1896" spans="2:13" x14ac:dyDescent="0.55000000000000004">
      <c r="B1896" s="30">
        <v>42891</v>
      </c>
      <c r="C1896">
        <v>2015</v>
      </c>
      <c r="L1896" s="30">
        <v>43679</v>
      </c>
      <c r="M1896">
        <v>23215</v>
      </c>
    </row>
    <row r="1897" spans="2:13" x14ac:dyDescent="0.55000000000000004">
      <c r="B1897" s="30">
        <v>42888</v>
      </c>
      <c r="C1897">
        <v>2002</v>
      </c>
      <c r="L1897" s="30">
        <v>43678</v>
      </c>
      <c r="M1897">
        <v>23200</v>
      </c>
    </row>
    <row r="1898" spans="2:13" x14ac:dyDescent="0.55000000000000004">
      <c r="B1898" s="30">
        <v>42887</v>
      </c>
      <c r="C1898">
        <v>2001</v>
      </c>
      <c r="L1898" s="30">
        <v>43677</v>
      </c>
      <c r="M1898">
        <v>23230</v>
      </c>
    </row>
    <row r="1899" spans="2:13" x14ac:dyDescent="0.55000000000000004">
      <c r="B1899" s="30">
        <v>42886</v>
      </c>
      <c r="C1899">
        <v>1995</v>
      </c>
      <c r="L1899" s="30">
        <v>43676</v>
      </c>
      <c r="M1899">
        <v>23200</v>
      </c>
    </row>
    <row r="1900" spans="2:13" x14ac:dyDescent="0.55000000000000004">
      <c r="B1900" s="30">
        <v>42885</v>
      </c>
      <c r="C1900">
        <v>2010</v>
      </c>
      <c r="L1900" s="30">
        <v>43675</v>
      </c>
      <c r="M1900">
        <v>23205</v>
      </c>
    </row>
    <row r="1901" spans="2:13" x14ac:dyDescent="0.55000000000000004">
      <c r="B1901" s="30">
        <v>42884</v>
      </c>
      <c r="C1901">
        <v>1991</v>
      </c>
      <c r="L1901" s="30">
        <v>43672</v>
      </c>
      <c r="M1901">
        <v>23205</v>
      </c>
    </row>
    <row r="1902" spans="2:13" x14ac:dyDescent="0.55000000000000004">
      <c r="B1902" s="30">
        <v>42881</v>
      </c>
      <c r="C1902">
        <v>1991</v>
      </c>
      <c r="L1902" s="30">
        <v>43671</v>
      </c>
      <c r="M1902">
        <v>23209</v>
      </c>
    </row>
    <row r="1903" spans="2:13" x14ac:dyDescent="0.55000000000000004">
      <c r="B1903" s="30">
        <v>42880</v>
      </c>
      <c r="C1903">
        <v>1934</v>
      </c>
      <c r="L1903" s="30">
        <v>43670</v>
      </c>
      <c r="M1903">
        <v>23205</v>
      </c>
    </row>
    <row r="1904" spans="2:13" x14ac:dyDescent="0.55000000000000004">
      <c r="B1904" s="30">
        <v>42879</v>
      </c>
      <c r="C1904">
        <v>1905</v>
      </c>
      <c r="L1904" s="30">
        <v>43669</v>
      </c>
      <c r="M1904">
        <v>23209</v>
      </c>
    </row>
    <row r="1905" spans="2:13" x14ac:dyDescent="0.55000000000000004">
      <c r="B1905" s="30">
        <v>42878</v>
      </c>
      <c r="C1905">
        <v>1936</v>
      </c>
      <c r="L1905" s="30">
        <v>43668</v>
      </c>
      <c r="M1905">
        <v>23211</v>
      </c>
    </row>
    <row r="1906" spans="2:13" x14ac:dyDescent="0.55000000000000004">
      <c r="B1906" s="30">
        <v>42877</v>
      </c>
      <c r="C1906">
        <v>1925</v>
      </c>
      <c r="L1906" s="30">
        <v>43665</v>
      </c>
      <c r="M1906">
        <v>23244</v>
      </c>
    </row>
    <row r="1907" spans="2:13" x14ac:dyDescent="0.55000000000000004">
      <c r="B1907" s="30">
        <v>42874</v>
      </c>
      <c r="C1907">
        <v>1977</v>
      </c>
      <c r="L1907" s="30">
        <v>43664</v>
      </c>
      <c r="M1907">
        <v>23214</v>
      </c>
    </row>
    <row r="1908" spans="2:13" x14ac:dyDescent="0.55000000000000004">
      <c r="B1908" s="30">
        <v>42873</v>
      </c>
      <c r="C1908">
        <v>1984</v>
      </c>
      <c r="L1908" s="30">
        <v>43663</v>
      </c>
      <c r="M1908">
        <v>23200</v>
      </c>
    </row>
    <row r="1909" spans="2:13" x14ac:dyDescent="0.55000000000000004">
      <c r="B1909" s="30">
        <v>42872</v>
      </c>
      <c r="C1909">
        <v>1997</v>
      </c>
      <c r="L1909" s="30">
        <v>43662</v>
      </c>
      <c r="M1909">
        <v>23200</v>
      </c>
    </row>
    <row r="1910" spans="2:13" x14ac:dyDescent="0.55000000000000004">
      <c r="B1910" s="30">
        <v>42871</v>
      </c>
      <c r="C1910">
        <v>1959</v>
      </c>
      <c r="L1910" s="30">
        <v>43661</v>
      </c>
      <c r="M1910">
        <v>23199</v>
      </c>
    </row>
    <row r="1911" spans="2:13" x14ac:dyDescent="0.55000000000000004">
      <c r="B1911" s="30">
        <v>42870</v>
      </c>
      <c r="C1911">
        <v>1969</v>
      </c>
      <c r="L1911" s="30">
        <v>43658</v>
      </c>
      <c r="M1911">
        <v>23200</v>
      </c>
    </row>
    <row r="1912" spans="2:13" x14ac:dyDescent="0.55000000000000004">
      <c r="B1912" s="30">
        <v>42867</v>
      </c>
      <c r="C1912">
        <v>1994</v>
      </c>
      <c r="L1912" s="30">
        <v>43657</v>
      </c>
      <c r="M1912">
        <v>23200</v>
      </c>
    </row>
    <row r="1913" spans="2:13" x14ac:dyDescent="0.55000000000000004">
      <c r="B1913" s="30">
        <v>42866</v>
      </c>
      <c r="C1913">
        <v>1984</v>
      </c>
      <c r="L1913" s="30">
        <v>43656</v>
      </c>
      <c r="M1913">
        <v>23210</v>
      </c>
    </row>
    <row r="1914" spans="2:13" x14ac:dyDescent="0.55000000000000004">
      <c r="B1914" s="30">
        <v>42865</v>
      </c>
      <c r="C1914">
        <v>2014</v>
      </c>
      <c r="L1914" s="30">
        <v>43655</v>
      </c>
      <c r="M1914">
        <v>23220</v>
      </c>
    </row>
    <row r="1915" spans="2:13" x14ac:dyDescent="0.55000000000000004">
      <c r="B1915" s="30">
        <v>42864</v>
      </c>
      <c r="C1915">
        <v>2020</v>
      </c>
      <c r="L1915" s="30">
        <v>43654</v>
      </c>
      <c r="M1915">
        <v>23245</v>
      </c>
    </row>
    <row r="1916" spans="2:13" x14ac:dyDescent="0.55000000000000004">
      <c r="B1916" s="30">
        <v>42863</v>
      </c>
      <c r="C1916">
        <v>2027</v>
      </c>
      <c r="L1916" s="30">
        <v>43651</v>
      </c>
      <c r="M1916">
        <v>23235</v>
      </c>
    </row>
    <row r="1917" spans="2:13" x14ac:dyDescent="0.55000000000000004">
      <c r="B1917" s="30">
        <v>42860</v>
      </c>
      <c r="C1917">
        <v>2002</v>
      </c>
      <c r="L1917" s="30">
        <v>43650</v>
      </c>
      <c r="M1917">
        <v>23240</v>
      </c>
    </row>
    <row r="1918" spans="2:13" x14ac:dyDescent="0.55000000000000004">
      <c r="B1918" s="30">
        <v>42859</v>
      </c>
      <c r="C1918">
        <v>1992</v>
      </c>
      <c r="L1918" s="30">
        <v>43649</v>
      </c>
      <c r="M1918">
        <v>23245</v>
      </c>
    </row>
    <row r="1919" spans="2:13" x14ac:dyDescent="0.55000000000000004">
      <c r="B1919" s="30">
        <v>42858</v>
      </c>
      <c r="C1919">
        <v>2034</v>
      </c>
      <c r="L1919" s="30">
        <v>43648</v>
      </c>
      <c r="M1919">
        <v>23230</v>
      </c>
    </row>
    <row r="1920" spans="2:13" x14ac:dyDescent="0.55000000000000004">
      <c r="B1920" s="30">
        <v>42857</v>
      </c>
      <c r="C1920">
        <v>1995</v>
      </c>
      <c r="L1920" s="30">
        <v>43647</v>
      </c>
      <c r="M1920">
        <v>23250</v>
      </c>
    </row>
    <row r="1921" spans="2:13" x14ac:dyDescent="0.55000000000000004">
      <c r="B1921" s="30">
        <v>42853</v>
      </c>
      <c r="C1921">
        <v>1946</v>
      </c>
      <c r="L1921" s="30">
        <v>43644</v>
      </c>
      <c r="M1921">
        <v>23300</v>
      </c>
    </row>
    <row r="1922" spans="2:13" x14ac:dyDescent="0.55000000000000004">
      <c r="B1922" s="30">
        <v>42852</v>
      </c>
      <c r="C1922">
        <v>1910</v>
      </c>
      <c r="L1922" s="30">
        <v>43643</v>
      </c>
      <c r="M1922">
        <v>23310</v>
      </c>
    </row>
    <row r="1923" spans="2:13" x14ac:dyDescent="0.55000000000000004">
      <c r="B1923" s="30">
        <v>42851</v>
      </c>
      <c r="C1923">
        <v>1929</v>
      </c>
      <c r="L1923" s="30">
        <v>43642</v>
      </c>
      <c r="M1923">
        <v>23300</v>
      </c>
    </row>
    <row r="1924" spans="2:13" x14ac:dyDescent="0.55000000000000004">
      <c r="B1924" s="30">
        <v>42850</v>
      </c>
      <c r="C1924">
        <v>1916</v>
      </c>
      <c r="L1924" s="30">
        <v>43641</v>
      </c>
      <c r="M1924">
        <v>23296</v>
      </c>
    </row>
    <row r="1925" spans="2:13" x14ac:dyDescent="0.55000000000000004">
      <c r="B1925" s="30">
        <v>42849</v>
      </c>
      <c r="C1925">
        <v>1936</v>
      </c>
      <c r="L1925" s="30">
        <v>43640</v>
      </c>
      <c r="M1925">
        <v>23286</v>
      </c>
    </row>
    <row r="1926" spans="2:13" x14ac:dyDescent="0.55000000000000004">
      <c r="B1926" s="30">
        <v>42846</v>
      </c>
      <c r="C1926">
        <v>1990</v>
      </c>
      <c r="L1926" s="30">
        <v>43637</v>
      </c>
      <c r="M1926">
        <v>23280</v>
      </c>
    </row>
    <row r="1927" spans="2:13" x14ac:dyDescent="0.55000000000000004">
      <c r="B1927" s="30">
        <v>42845</v>
      </c>
      <c r="C1927">
        <v>2124</v>
      </c>
      <c r="L1927" s="30">
        <v>43636</v>
      </c>
      <c r="M1927">
        <v>23295</v>
      </c>
    </row>
    <row r="1928" spans="2:13" x14ac:dyDescent="0.55000000000000004">
      <c r="B1928" s="30">
        <v>42844</v>
      </c>
      <c r="C1928">
        <v>2174</v>
      </c>
      <c r="L1928" s="30">
        <v>43635</v>
      </c>
      <c r="M1928">
        <v>23315</v>
      </c>
    </row>
    <row r="1929" spans="2:13" x14ac:dyDescent="0.55000000000000004">
      <c r="B1929" s="30">
        <v>42843</v>
      </c>
      <c r="C1929">
        <v>2190</v>
      </c>
      <c r="L1929" s="30">
        <v>43634</v>
      </c>
      <c r="M1929">
        <v>23335</v>
      </c>
    </row>
    <row r="1930" spans="2:13" x14ac:dyDescent="0.55000000000000004">
      <c r="B1930" s="30">
        <v>42838</v>
      </c>
      <c r="C1930">
        <v>2173</v>
      </c>
      <c r="L1930" s="30">
        <v>43633</v>
      </c>
      <c r="M1930">
        <v>23345</v>
      </c>
    </row>
    <row r="1931" spans="2:13" x14ac:dyDescent="0.55000000000000004">
      <c r="B1931" s="30">
        <v>42837</v>
      </c>
      <c r="C1931">
        <v>2183</v>
      </c>
      <c r="L1931" s="30">
        <v>43630</v>
      </c>
      <c r="M1931">
        <v>23330</v>
      </c>
    </row>
    <row r="1932" spans="2:13" x14ac:dyDescent="0.55000000000000004">
      <c r="B1932" s="30">
        <v>42836</v>
      </c>
      <c r="C1932">
        <v>2199</v>
      </c>
      <c r="L1932" s="30">
        <v>43629</v>
      </c>
      <c r="M1932">
        <v>23310</v>
      </c>
    </row>
    <row r="1933" spans="2:13" x14ac:dyDescent="0.55000000000000004">
      <c r="B1933" s="30">
        <v>42835</v>
      </c>
      <c r="C1933">
        <v>2180</v>
      </c>
      <c r="L1933" s="30">
        <v>43628</v>
      </c>
      <c r="M1933">
        <v>23315</v>
      </c>
    </row>
    <row r="1934" spans="2:13" x14ac:dyDescent="0.55000000000000004">
      <c r="B1934" s="30">
        <v>42832</v>
      </c>
      <c r="C1934">
        <v>2194</v>
      </c>
      <c r="L1934" s="30">
        <v>43627</v>
      </c>
      <c r="M1934">
        <v>23337</v>
      </c>
    </row>
    <row r="1935" spans="2:13" x14ac:dyDescent="0.55000000000000004">
      <c r="B1935" s="30">
        <v>42831</v>
      </c>
      <c r="C1935">
        <v>2169</v>
      </c>
      <c r="L1935" s="30">
        <v>43626</v>
      </c>
      <c r="M1935">
        <v>23360</v>
      </c>
    </row>
    <row r="1936" spans="2:13" x14ac:dyDescent="0.55000000000000004">
      <c r="B1936" s="30">
        <v>42830</v>
      </c>
      <c r="C1936">
        <v>2179</v>
      </c>
      <c r="L1936" s="30">
        <v>43623</v>
      </c>
      <c r="M1936">
        <v>23395</v>
      </c>
    </row>
    <row r="1937" spans="2:13" x14ac:dyDescent="0.55000000000000004">
      <c r="B1937" s="30">
        <v>42829</v>
      </c>
      <c r="C1937">
        <v>2172</v>
      </c>
      <c r="L1937" s="30">
        <v>43622</v>
      </c>
      <c r="M1937">
        <v>23402</v>
      </c>
    </row>
    <row r="1938" spans="2:13" x14ac:dyDescent="0.55000000000000004">
      <c r="B1938" s="30">
        <v>42828</v>
      </c>
      <c r="C1938">
        <v>2174</v>
      </c>
      <c r="L1938" s="30">
        <v>43621</v>
      </c>
      <c r="M1938">
        <v>23412</v>
      </c>
    </row>
    <row r="1939" spans="2:13" x14ac:dyDescent="0.55000000000000004">
      <c r="B1939" s="30">
        <v>42825</v>
      </c>
      <c r="C1939">
        <v>2149</v>
      </c>
      <c r="L1939" s="30">
        <v>43620</v>
      </c>
      <c r="M1939">
        <v>23395</v>
      </c>
    </row>
    <row r="1940" spans="2:13" x14ac:dyDescent="0.55000000000000004">
      <c r="B1940" s="30">
        <v>42824</v>
      </c>
      <c r="C1940">
        <v>2161</v>
      </c>
      <c r="L1940" s="30">
        <v>43619</v>
      </c>
      <c r="M1940">
        <v>23393</v>
      </c>
    </row>
    <row r="1941" spans="2:13" x14ac:dyDescent="0.55000000000000004">
      <c r="B1941" s="30">
        <v>42823</v>
      </c>
      <c r="C1941">
        <v>2171</v>
      </c>
      <c r="L1941" s="30">
        <v>43616</v>
      </c>
      <c r="M1941">
        <v>23410</v>
      </c>
    </row>
    <row r="1942" spans="2:13" x14ac:dyDescent="0.55000000000000004">
      <c r="B1942" s="30">
        <v>42822</v>
      </c>
      <c r="C1942">
        <v>2168</v>
      </c>
      <c r="L1942" s="30">
        <v>43615</v>
      </c>
      <c r="M1942">
        <v>23415</v>
      </c>
    </row>
    <row r="1943" spans="2:13" x14ac:dyDescent="0.55000000000000004">
      <c r="B1943" s="30">
        <v>42821</v>
      </c>
      <c r="C1943">
        <v>2186</v>
      </c>
      <c r="L1943" s="30">
        <v>43614</v>
      </c>
      <c r="M1943">
        <v>23406</v>
      </c>
    </row>
    <row r="1944" spans="2:13" x14ac:dyDescent="0.55000000000000004">
      <c r="B1944" s="30">
        <v>42818</v>
      </c>
      <c r="C1944">
        <v>2139</v>
      </c>
      <c r="L1944" s="30">
        <v>43613</v>
      </c>
      <c r="M1944">
        <v>23392</v>
      </c>
    </row>
    <row r="1945" spans="2:13" x14ac:dyDescent="0.55000000000000004">
      <c r="B1945" s="30">
        <v>42817</v>
      </c>
      <c r="C1945">
        <v>2163</v>
      </c>
      <c r="L1945" s="30">
        <v>43612</v>
      </c>
      <c r="M1945">
        <v>23386</v>
      </c>
    </row>
    <row r="1946" spans="2:13" x14ac:dyDescent="0.55000000000000004">
      <c r="B1946" s="30">
        <v>42816</v>
      </c>
      <c r="C1946">
        <v>2164</v>
      </c>
      <c r="L1946" s="30">
        <v>43609</v>
      </c>
      <c r="M1946">
        <v>23380</v>
      </c>
    </row>
    <row r="1947" spans="2:13" x14ac:dyDescent="0.55000000000000004">
      <c r="B1947" s="30">
        <v>42815</v>
      </c>
      <c r="C1947">
        <v>2171</v>
      </c>
      <c r="L1947" s="30">
        <v>43608</v>
      </c>
      <c r="M1947">
        <v>23388</v>
      </c>
    </row>
    <row r="1948" spans="2:13" x14ac:dyDescent="0.55000000000000004">
      <c r="B1948" s="30">
        <v>42814</v>
      </c>
      <c r="C1948">
        <v>2196</v>
      </c>
      <c r="L1948" s="30">
        <v>43607</v>
      </c>
      <c r="M1948">
        <v>23370</v>
      </c>
    </row>
    <row r="1949" spans="2:13" x14ac:dyDescent="0.55000000000000004">
      <c r="B1949" s="30">
        <v>42811</v>
      </c>
      <c r="C1949">
        <v>2184</v>
      </c>
      <c r="L1949" s="30">
        <v>43606</v>
      </c>
      <c r="M1949">
        <v>23390</v>
      </c>
    </row>
    <row r="1950" spans="2:13" x14ac:dyDescent="0.55000000000000004">
      <c r="B1950" s="30">
        <v>42810</v>
      </c>
      <c r="C1950">
        <v>2183</v>
      </c>
      <c r="L1950" s="30">
        <v>43605</v>
      </c>
      <c r="M1950">
        <v>23400</v>
      </c>
    </row>
    <row r="1951" spans="2:13" x14ac:dyDescent="0.55000000000000004">
      <c r="B1951" s="30">
        <v>42809</v>
      </c>
      <c r="C1951">
        <v>2180</v>
      </c>
      <c r="L1951" s="30">
        <v>43602</v>
      </c>
      <c r="M1951">
        <v>23388</v>
      </c>
    </row>
    <row r="1952" spans="2:13" x14ac:dyDescent="0.55000000000000004">
      <c r="B1952" s="30">
        <v>42808</v>
      </c>
      <c r="C1952">
        <v>2169</v>
      </c>
      <c r="L1952" s="30">
        <v>43601</v>
      </c>
      <c r="M1952">
        <v>23300</v>
      </c>
    </row>
    <row r="1953" spans="2:13" x14ac:dyDescent="0.55000000000000004">
      <c r="B1953" s="30">
        <v>42807</v>
      </c>
      <c r="C1953">
        <v>2164</v>
      </c>
      <c r="L1953" s="30">
        <v>43600</v>
      </c>
      <c r="M1953">
        <v>23300</v>
      </c>
    </row>
    <row r="1954" spans="2:13" x14ac:dyDescent="0.55000000000000004">
      <c r="B1954" s="30">
        <v>42804</v>
      </c>
      <c r="C1954">
        <v>2170</v>
      </c>
      <c r="L1954" s="30">
        <v>43599</v>
      </c>
      <c r="M1954">
        <v>23375</v>
      </c>
    </row>
    <row r="1955" spans="2:13" x14ac:dyDescent="0.55000000000000004">
      <c r="B1955" s="30">
        <v>42803</v>
      </c>
      <c r="C1955">
        <v>2182</v>
      </c>
      <c r="L1955" s="30">
        <v>43598</v>
      </c>
      <c r="M1955">
        <v>23325</v>
      </c>
    </row>
    <row r="1956" spans="2:13" x14ac:dyDescent="0.55000000000000004">
      <c r="B1956" s="30">
        <v>42802</v>
      </c>
      <c r="C1956">
        <v>2189</v>
      </c>
      <c r="L1956" s="30">
        <v>43595</v>
      </c>
      <c r="M1956">
        <v>23345</v>
      </c>
    </row>
    <row r="1957" spans="2:13" x14ac:dyDescent="0.55000000000000004">
      <c r="B1957" s="30">
        <v>42801</v>
      </c>
      <c r="C1957">
        <v>2169</v>
      </c>
      <c r="L1957" s="30">
        <v>43594</v>
      </c>
      <c r="M1957">
        <v>23380</v>
      </c>
    </row>
    <row r="1958" spans="2:13" x14ac:dyDescent="0.55000000000000004">
      <c r="B1958" s="30">
        <v>42800</v>
      </c>
      <c r="C1958">
        <v>2176</v>
      </c>
      <c r="L1958" s="30">
        <v>43593</v>
      </c>
      <c r="M1958">
        <v>23365</v>
      </c>
    </row>
    <row r="1959" spans="2:13" x14ac:dyDescent="0.55000000000000004">
      <c r="B1959" s="30">
        <v>42797</v>
      </c>
      <c r="C1959">
        <v>2194</v>
      </c>
      <c r="L1959" s="30">
        <v>43592</v>
      </c>
      <c r="M1959">
        <v>23290</v>
      </c>
    </row>
    <row r="1960" spans="2:13" x14ac:dyDescent="0.55000000000000004">
      <c r="B1960" s="30">
        <v>42796</v>
      </c>
      <c r="C1960">
        <v>2215</v>
      </c>
      <c r="L1960" s="30">
        <v>43591</v>
      </c>
      <c r="M1960">
        <v>23280</v>
      </c>
    </row>
    <row r="1961" spans="2:13" x14ac:dyDescent="0.55000000000000004">
      <c r="B1961" s="30">
        <v>42795</v>
      </c>
      <c r="C1961">
        <v>2149</v>
      </c>
      <c r="L1961" s="30">
        <v>43588</v>
      </c>
      <c r="M1961">
        <v>23249</v>
      </c>
    </row>
    <row r="1962" spans="2:13" x14ac:dyDescent="0.55000000000000004">
      <c r="B1962" s="30">
        <v>42794</v>
      </c>
      <c r="C1962">
        <v>2143</v>
      </c>
      <c r="L1962" s="30">
        <v>43587</v>
      </c>
      <c r="M1962">
        <v>23260</v>
      </c>
    </row>
    <row r="1963" spans="2:13" x14ac:dyDescent="0.55000000000000004">
      <c r="B1963" s="30">
        <v>42793</v>
      </c>
      <c r="C1963">
        <v>2100</v>
      </c>
      <c r="L1963" s="30">
        <v>43586</v>
      </c>
      <c r="M1963">
        <v>23285</v>
      </c>
    </row>
    <row r="1964" spans="2:13" x14ac:dyDescent="0.55000000000000004">
      <c r="B1964" s="30">
        <v>42790</v>
      </c>
      <c r="C1964">
        <v>2126</v>
      </c>
      <c r="L1964" s="30">
        <v>43585</v>
      </c>
      <c r="M1964">
        <v>23285</v>
      </c>
    </row>
    <row r="1965" spans="2:13" x14ac:dyDescent="0.55000000000000004">
      <c r="B1965" s="30">
        <v>42789</v>
      </c>
      <c r="C1965">
        <v>2155</v>
      </c>
      <c r="L1965" s="30">
        <v>43584</v>
      </c>
      <c r="M1965">
        <v>23285</v>
      </c>
    </row>
    <row r="1966" spans="2:13" x14ac:dyDescent="0.55000000000000004">
      <c r="B1966" s="30">
        <v>42788</v>
      </c>
      <c r="C1966">
        <v>2161</v>
      </c>
      <c r="L1966" s="30">
        <v>43581</v>
      </c>
      <c r="M1966">
        <v>23285</v>
      </c>
    </row>
    <row r="1967" spans="2:13" x14ac:dyDescent="0.55000000000000004">
      <c r="B1967" s="30">
        <v>42787</v>
      </c>
      <c r="C1967">
        <v>2189</v>
      </c>
      <c r="L1967" s="30">
        <v>43580</v>
      </c>
      <c r="M1967">
        <v>23215</v>
      </c>
    </row>
    <row r="1968" spans="2:13" x14ac:dyDescent="0.55000000000000004">
      <c r="B1968" s="30">
        <v>42786</v>
      </c>
      <c r="C1968">
        <v>2186</v>
      </c>
      <c r="L1968" s="30">
        <v>43579</v>
      </c>
      <c r="M1968">
        <v>23215</v>
      </c>
    </row>
    <row r="1969" spans="2:13" x14ac:dyDescent="0.55000000000000004">
      <c r="B1969" s="30">
        <v>42783</v>
      </c>
      <c r="C1969">
        <v>2174</v>
      </c>
      <c r="L1969" s="30">
        <v>43578</v>
      </c>
      <c r="M1969">
        <v>23210</v>
      </c>
    </row>
    <row r="1970" spans="2:13" x14ac:dyDescent="0.55000000000000004">
      <c r="B1970" s="30">
        <v>42782</v>
      </c>
      <c r="C1970">
        <v>2179</v>
      </c>
      <c r="L1970" s="30">
        <v>43577</v>
      </c>
      <c r="M1970">
        <v>23218</v>
      </c>
    </row>
    <row r="1971" spans="2:13" x14ac:dyDescent="0.55000000000000004">
      <c r="B1971" s="30">
        <v>42781</v>
      </c>
      <c r="C1971">
        <v>2148</v>
      </c>
      <c r="L1971" s="30">
        <v>43574</v>
      </c>
      <c r="M1971">
        <v>23210</v>
      </c>
    </row>
    <row r="1972" spans="2:13" x14ac:dyDescent="0.55000000000000004">
      <c r="B1972" s="30">
        <v>42780</v>
      </c>
      <c r="C1972">
        <v>2128</v>
      </c>
      <c r="L1972" s="30">
        <v>43573</v>
      </c>
      <c r="M1972">
        <v>23203</v>
      </c>
    </row>
    <row r="1973" spans="2:13" x14ac:dyDescent="0.55000000000000004">
      <c r="B1973" s="30">
        <v>42779</v>
      </c>
      <c r="C1973">
        <v>2139</v>
      </c>
      <c r="L1973" s="30">
        <v>43572</v>
      </c>
      <c r="M1973">
        <v>23198</v>
      </c>
    </row>
    <row r="1974" spans="2:13" x14ac:dyDescent="0.55000000000000004">
      <c r="B1974" s="30">
        <v>42776</v>
      </c>
      <c r="C1974">
        <v>2159</v>
      </c>
      <c r="L1974" s="30">
        <v>43571</v>
      </c>
      <c r="M1974">
        <v>23199</v>
      </c>
    </row>
    <row r="1975" spans="2:13" x14ac:dyDescent="0.55000000000000004">
      <c r="B1975" s="30">
        <v>42775</v>
      </c>
      <c r="C1975">
        <v>2157</v>
      </c>
      <c r="L1975" s="30">
        <v>43570</v>
      </c>
      <c r="M1975">
        <v>23199</v>
      </c>
    </row>
    <row r="1976" spans="2:13" x14ac:dyDescent="0.55000000000000004">
      <c r="B1976" s="30">
        <v>42774</v>
      </c>
      <c r="C1976">
        <v>2136</v>
      </c>
      <c r="L1976" s="30">
        <v>43567</v>
      </c>
      <c r="M1976">
        <v>23199</v>
      </c>
    </row>
    <row r="1977" spans="2:13" x14ac:dyDescent="0.55000000000000004">
      <c r="B1977" s="30">
        <v>42773</v>
      </c>
      <c r="C1977">
        <v>2172</v>
      </c>
      <c r="L1977" s="30">
        <v>43566</v>
      </c>
      <c r="M1977">
        <v>23196</v>
      </c>
    </row>
    <row r="1978" spans="2:13" x14ac:dyDescent="0.55000000000000004">
      <c r="B1978" s="30">
        <v>42772</v>
      </c>
      <c r="C1978">
        <v>2181</v>
      </c>
      <c r="L1978" s="30">
        <v>43565</v>
      </c>
      <c r="M1978">
        <v>23200</v>
      </c>
    </row>
    <row r="1979" spans="2:13" x14ac:dyDescent="0.55000000000000004">
      <c r="B1979" s="30">
        <v>42769</v>
      </c>
      <c r="C1979">
        <v>2197</v>
      </c>
      <c r="L1979" s="30">
        <v>43564</v>
      </c>
      <c r="M1979">
        <v>23198</v>
      </c>
    </row>
    <row r="1980" spans="2:13" x14ac:dyDescent="0.55000000000000004">
      <c r="B1980" s="30">
        <v>42768</v>
      </c>
      <c r="C1980">
        <v>2201</v>
      </c>
      <c r="L1980" s="30">
        <v>43563</v>
      </c>
      <c r="M1980">
        <v>23199</v>
      </c>
    </row>
    <row r="1981" spans="2:13" x14ac:dyDescent="0.55000000000000004">
      <c r="B1981" s="30">
        <v>42767</v>
      </c>
      <c r="C1981">
        <v>2257</v>
      </c>
      <c r="L1981" s="30">
        <v>43560</v>
      </c>
      <c r="M1981">
        <v>23199</v>
      </c>
    </row>
    <row r="1982" spans="2:13" x14ac:dyDescent="0.55000000000000004">
      <c r="B1982" s="30">
        <v>42766</v>
      </c>
      <c r="C1982">
        <v>2222</v>
      </c>
      <c r="L1982" s="30">
        <v>43559</v>
      </c>
      <c r="M1982">
        <v>23198</v>
      </c>
    </row>
    <row r="1983" spans="2:13" x14ac:dyDescent="0.55000000000000004">
      <c r="B1983" s="30">
        <v>42765</v>
      </c>
      <c r="C1983">
        <v>2237</v>
      </c>
      <c r="L1983" s="30">
        <v>43558</v>
      </c>
      <c r="M1983">
        <v>23199</v>
      </c>
    </row>
    <row r="1984" spans="2:13" x14ac:dyDescent="0.55000000000000004">
      <c r="B1984" s="30">
        <v>42762</v>
      </c>
      <c r="C1984">
        <v>2238</v>
      </c>
      <c r="L1984" s="30">
        <v>43557</v>
      </c>
      <c r="M1984">
        <v>23197</v>
      </c>
    </row>
    <row r="1985" spans="2:13" x14ac:dyDescent="0.55000000000000004">
      <c r="B1985" s="30">
        <v>42761</v>
      </c>
      <c r="C1985">
        <v>2210</v>
      </c>
      <c r="L1985" s="30">
        <v>43556</v>
      </c>
      <c r="M1985">
        <v>23199</v>
      </c>
    </row>
    <row r="1986" spans="2:13" x14ac:dyDescent="0.55000000000000004">
      <c r="B1986" s="30">
        <v>42760</v>
      </c>
      <c r="C1986">
        <v>2231</v>
      </c>
      <c r="L1986" s="30">
        <v>43553</v>
      </c>
      <c r="M1986">
        <v>23203</v>
      </c>
    </row>
    <row r="1987" spans="2:13" x14ac:dyDescent="0.55000000000000004">
      <c r="B1987" s="30">
        <v>42759</v>
      </c>
      <c r="C1987">
        <v>2212</v>
      </c>
      <c r="L1987" s="30">
        <v>43552</v>
      </c>
      <c r="M1987">
        <v>23200</v>
      </c>
    </row>
    <row r="1988" spans="2:13" x14ac:dyDescent="0.55000000000000004">
      <c r="B1988" s="30">
        <v>42758</v>
      </c>
      <c r="C1988">
        <v>2248</v>
      </c>
      <c r="L1988" s="30">
        <v>43551</v>
      </c>
      <c r="M1988">
        <v>23198</v>
      </c>
    </row>
    <row r="1989" spans="2:13" x14ac:dyDescent="0.55000000000000004">
      <c r="B1989" s="30">
        <v>42755</v>
      </c>
      <c r="C1989">
        <v>2261</v>
      </c>
      <c r="L1989" s="30">
        <v>43550</v>
      </c>
      <c r="M1989">
        <v>23198</v>
      </c>
    </row>
    <row r="1990" spans="2:13" x14ac:dyDescent="0.55000000000000004">
      <c r="B1990" s="30">
        <v>42754</v>
      </c>
      <c r="C1990">
        <v>2261</v>
      </c>
      <c r="L1990" s="30">
        <v>43549</v>
      </c>
      <c r="M1990">
        <v>23199</v>
      </c>
    </row>
    <row r="1991" spans="2:13" x14ac:dyDescent="0.55000000000000004">
      <c r="B1991" s="30">
        <v>42753</v>
      </c>
      <c r="C1991">
        <v>2245</v>
      </c>
      <c r="L1991" s="30">
        <v>43546</v>
      </c>
      <c r="M1991">
        <v>23199</v>
      </c>
    </row>
    <row r="1992" spans="2:13" x14ac:dyDescent="0.55000000000000004">
      <c r="B1992" s="30">
        <v>42752</v>
      </c>
      <c r="C1992">
        <v>2238</v>
      </c>
      <c r="L1992" s="30">
        <v>43545</v>
      </c>
      <c r="M1992">
        <v>23200</v>
      </c>
    </row>
    <row r="1993" spans="2:13" x14ac:dyDescent="0.55000000000000004">
      <c r="B1993" s="30">
        <v>42751</v>
      </c>
      <c r="C1993">
        <v>2233</v>
      </c>
      <c r="L1993" s="30">
        <v>43544</v>
      </c>
      <c r="M1993">
        <v>23209</v>
      </c>
    </row>
    <row r="1994" spans="2:13" x14ac:dyDescent="0.55000000000000004">
      <c r="B1994" s="30">
        <v>42748</v>
      </c>
      <c r="C1994">
        <v>2202</v>
      </c>
      <c r="L1994" s="30">
        <v>43543</v>
      </c>
      <c r="M1994">
        <v>23208</v>
      </c>
    </row>
    <row r="1995" spans="2:13" x14ac:dyDescent="0.55000000000000004">
      <c r="B1995" s="30">
        <v>42747</v>
      </c>
      <c r="C1995">
        <v>2198</v>
      </c>
      <c r="L1995" s="30">
        <v>43542</v>
      </c>
      <c r="M1995">
        <v>23202</v>
      </c>
    </row>
    <row r="1996" spans="2:13" x14ac:dyDescent="0.55000000000000004">
      <c r="B1996" s="30">
        <v>42746</v>
      </c>
      <c r="C1996">
        <v>2218</v>
      </c>
      <c r="L1996" s="30">
        <v>43539</v>
      </c>
      <c r="M1996">
        <v>23198</v>
      </c>
    </row>
    <row r="1997" spans="2:13" x14ac:dyDescent="0.55000000000000004">
      <c r="B1997" s="30">
        <v>42745</v>
      </c>
      <c r="C1997">
        <v>2162</v>
      </c>
      <c r="L1997" s="30">
        <v>43538</v>
      </c>
      <c r="M1997">
        <v>23198</v>
      </c>
    </row>
    <row r="1998" spans="2:13" x14ac:dyDescent="0.55000000000000004">
      <c r="B1998" s="30">
        <v>42744</v>
      </c>
      <c r="C1998">
        <v>2141</v>
      </c>
      <c r="L1998" s="30">
        <v>43537</v>
      </c>
      <c r="M1998">
        <v>23199</v>
      </c>
    </row>
    <row r="1999" spans="2:13" x14ac:dyDescent="0.55000000000000004">
      <c r="B1999" s="30">
        <v>42741</v>
      </c>
      <c r="C1999">
        <v>2140</v>
      </c>
      <c r="L1999" s="30">
        <v>43536</v>
      </c>
      <c r="M1999">
        <v>23198</v>
      </c>
    </row>
    <row r="2000" spans="2:13" x14ac:dyDescent="0.55000000000000004">
      <c r="B2000" s="30">
        <v>42740</v>
      </c>
      <c r="C2000">
        <v>2154</v>
      </c>
      <c r="L2000" s="30">
        <v>43535</v>
      </c>
      <c r="M2000">
        <v>23198</v>
      </c>
    </row>
    <row r="2001" spans="2:13" x14ac:dyDescent="0.55000000000000004">
      <c r="B2001" s="30">
        <v>42739</v>
      </c>
      <c r="C2001">
        <v>2165</v>
      </c>
      <c r="L2001" s="30">
        <v>43532</v>
      </c>
      <c r="M2001">
        <v>23199</v>
      </c>
    </row>
    <row r="2002" spans="2:13" x14ac:dyDescent="0.55000000000000004">
      <c r="B2002" s="30">
        <v>42738</v>
      </c>
      <c r="C2002">
        <v>2124</v>
      </c>
      <c r="L2002" s="30">
        <v>43531</v>
      </c>
      <c r="M2002">
        <v>23197</v>
      </c>
    </row>
    <row r="2003" spans="2:13" x14ac:dyDescent="0.55000000000000004">
      <c r="B2003" s="30">
        <v>42737</v>
      </c>
      <c r="C2003">
        <v>2138</v>
      </c>
      <c r="L2003" s="30">
        <v>43530</v>
      </c>
      <c r="M2003">
        <v>23200</v>
      </c>
    </row>
    <row r="2004" spans="2:13" x14ac:dyDescent="0.55000000000000004">
      <c r="B2004" s="30">
        <v>42734</v>
      </c>
      <c r="C2004">
        <v>2138</v>
      </c>
      <c r="L2004" s="30">
        <v>43529</v>
      </c>
      <c r="M2004">
        <v>23198</v>
      </c>
    </row>
    <row r="2005" spans="2:13" x14ac:dyDescent="0.55000000000000004">
      <c r="B2005" s="30">
        <v>42733</v>
      </c>
      <c r="C2005">
        <v>2116</v>
      </c>
      <c r="L2005" s="30">
        <v>43528</v>
      </c>
      <c r="M2005">
        <v>23200</v>
      </c>
    </row>
    <row r="2006" spans="2:13" x14ac:dyDescent="0.55000000000000004">
      <c r="B2006" s="30">
        <v>42732</v>
      </c>
      <c r="C2006">
        <v>2077</v>
      </c>
      <c r="L2006" s="30">
        <v>43525</v>
      </c>
      <c r="M2006">
        <v>23202</v>
      </c>
    </row>
    <row r="2007" spans="2:13" x14ac:dyDescent="0.55000000000000004">
      <c r="B2007" s="30">
        <v>42731</v>
      </c>
      <c r="C2007">
        <v>2089</v>
      </c>
      <c r="L2007" s="30">
        <v>43524</v>
      </c>
      <c r="M2007">
        <v>23199</v>
      </c>
    </row>
    <row r="2008" spans="2:13" x14ac:dyDescent="0.55000000000000004">
      <c r="B2008" s="30">
        <v>42727</v>
      </c>
      <c r="C2008">
        <v>2089</v>
      </c>
      <c r="L2008" s="30">
        <v>43523</v>
      </c>
      <c r="M2008">
        <v>23199</v>
      </c>
    </row>
    <row r="2009" spans="2:13" x14ac:dyDescent="0.55000000000000004">
      <c r="B2009" s="30">
        <v>42726</v>
      </c>
      <c r="C2009">
        <v>2064</v>
      </c>
      <c r="L2009" s="30">
        <v>43522</v>
      </c>
      <c r="M2009">
        <v>23200</v>
      </c>
    </row>
    <row r="2010" spans="2:13" x14ac:dyDescent="0.55000000000000004">
      <c r="B2010" s="30">
        <v>42725</v>
      </c>
      <c r="C2010">
        <v>2113</v>
      </c>
      <c r="L2010" s="30">
        <v>43521</v>
      </c>
      <c r="M2010">
        <v>23216</v>
      </c>
    </row>
    <row r="2011" spans="2:13" x14ac:dyDescent="0.55000000000000004">
      <c r="B2011" s="30">
        <v>42724</v>
      </c>
      <c r="C2011">
        <v>2123</v>
      </c>
      <c r="L2011" s="30">
        <v>43518</v>
      </c>
      <c r="M2011">
        <v>23209</v>
      </c>
    </row>
    <row r="2012" spans="2:13" x14ac:dyDescent="0.55000000000000004">
      <c r="B2012" s="30">
        <v>42723</v>
      </c>
      <c r="C2012">
        <v>2129</v>
      </c>
      <c r="L2012" s="30">
        <v>43517</v>
      </c>
      <c r="M2012">
        <v>23210</v>
      </c>
    </row>
    <row r="2013" spans="2:13" x14ac:dyDescent="0.55000000000000004">
      <c r="B2013" s="30">
        <v>42720</v>
      </c>
      <c r="C2013">
        <v>2083</v>
      </c>
      <c r="L2013" s="30">
        <v>43516</v>
      </c>
      <c r="M2013">
        <v>23198</v>
      </c>
    </row>
    <row r="2014" spans="2:13" x14ac:dyDescent="0.55000000000000004">
      <c r="B2014" s="30">
        <v>42719</v>
      </c>
      <c r="C2014">
        <v>2056</v>
      </c>
      <c r="L2014" s="30">
        <v>43515</v>
      </c>
      <c r="M2014">
        <v>23199</v>
      </c>
    </row>
    <row r="2015" spans="2:13" x14ac:dyDescent="0.55000000000000004">
      <c r="B2015" s="30">
        <v>42718</v>
      </c>
      <c r="C2015">
        <v>2053</v>
      </c>
      <c r="L2015" s="30">
        <v>43514</v>
      </c>
      <c r="M2015">
        <v>23199</v>
      </c>
    </row>
    <row r="2016" spans="2:13" x14ac:dyDescent="0.55000000000000004">
      <c r="B2016" s="30">
        <v>42717</v>
      </c>
      <c r="C2016">
        <v>2046</v>
      </c>
      <c r="L2016" s="30">
        <v>43511</v>
      </c>
      <c r="M2016">
        <v>23201</v>
      </c>
    </row>
    <row r="2017" spans="2:13" x14ac:dyDescent="0.55000000000000004">
      <c r="B2017" s="30">
        <v>42716</v>
      </c>
      <c r="C2017">
        <v>2017</v>
      </c>
      <c r="L2017" s="30">
        <v>43510</v>
      </c>
      <c r="M2017">
        <v>23201</v>
      </c>
    </row>
    <row r="2018" spans="2:13" x14ac:dyDescent="0.55000000000000004">
      <c r="B2018" s="30">
        <v>42713</v>
      </c>
      <c r="C2018">
        <v>1989</v>
      </c>
      <c r="L2018" s="30">
        <v>43509</v>
      </c>
      <c r="M2018">
        <v>23196</v>
      </c>
    </row>
    <row r="2019" spans="2:13" x14ac:dyDescent="0.55000000000000004">
      <c r="B2019" s="30">
        <v>42712</v>
      </c>
      <c r="C2019">
        <v>2011</v>
      </c>
      <c r="L2019" s="30">
        <v>43508</v>
      </c>
      <c r="M2019">
        <v>23208</v>
      </c>
    </row>
    <row r="2020" spans="2:13" x14ac:dyDescent="0.55000000000000004">
      <c r="B2020" s="30">
        <v>42711</v>
      </c>
      <c r="C2020">
        <v>2021</v>
      </c>
      <c r="L2020" s="30">
        <v>43507</v>
      </c>
      <c r="M2020">
        <v>23210</v>
      </c>
    </row>
    <row r="2021" spans="2:13" x14ac:dyDescent="0.55000000000000004">
      <c r="B2021" s="30">
        <v>42710</v>
      </c>
      <c r="C2021">
        <v>2032</v>
      </c>
      <c r="L2021" s="30">
        <v>43504</v>
      </c>
      <c r="M2021">
        <v>23200</v>
      </c>
    </row>
    <row r="2022" spans="2:13" x14ac:dyDescent="0.55000000000000004">
      <c r="B2022" s="30">
        <v>42709</v>
      </c>
      <c r="C2022">
        <v>2043</v>
      </c>
      <c r="L2022" s="30">
        <v>43503</v>
      </c>
      <c r="M2022">
        <v>23200</v>
      </c>
    </row>
    <row r="2023" spans="2:13" x14ac:dyDescent="0.55000000000000004">
      <c r="B2023" s="30">
        <v>42706</v>
      </c>
      <c r="C2023">
        <v>2043</v>
      </c>
      <c r="L2023" s="30">
        <v>43502</v>
      </c>
      <c r="M2023">
        <v>23200</v>
      </c>
    </row>
    <row r="2024" spans="2:13" x14ac:dyDescent="0.55000000000000004">
      <c r="B2024" s="30">
        <v>42705</v>
      </c>
      <c r="C2024">
        <v>1983</v>
      </c>
      <c r="L2024" s="30">
        <v>43501</v>
      </c>
      <c r="M2024">
        <v>23200</v>
      </c>
    </row>
    <row r="2025" spans="2:13" x14ac:dyDescent="0.55000000000000004">
      <c r="B2025" s="30">
        <v>42704</v>
      </c>
      <c r="C2025">
        <v>2026</v>
      </c>
      <c r="L2025" s="30">
        <v>43500</v>
      </c>
      <c r="M2025">
        <v>23200</v>
      </c>
    </row>
    <row r="2026" spans="2:13" x14ac:dyDescent="0.55000000000000004">
      <c r="B2026" s="30">
        <v>42703</v>
      </c>
      <c r="C2026">
        <v>2046</v>
      </c>
      <c r="L2026" s="30">
        <v>43497</v>
      </c>
      <c r="M2026">
        <v>23200</v>
      </c>
    </row>
    <row r="2027" spans="2:13" x14ac:dyDescent="0.55000000000000004">
      <c r="B2027" s="30">
        <v>42702</v>
      </c>
      <c r="C2027">
        <v>2078</v>
      </c>
      <c r="L2027" s="30">
        <v>43496</v>
      </c>
      <c r="M2027">
        <v>23198</v>
      </c>
    </row>
    <row r="2028" spans="2:13" x14ac:dyDescent="0.55000000000000004">
      <c r="B2028" s="30">
        <v>42699</v>
      </c>
      <c r="C2028">
        <v>2032</v>
      </c>
      <c r="L2028" s="30">
        <v>43495</v>
      </c>
      <c r="M2028">
        <v>23203</v>
      </c>
    </row>
    <row r="2029" spans="2:13" x14ac:dyDescent="0.55000000000000004">
      <c r="B2029" s="30">
        <v>42698</v>
      </c>
      <c r="C2029">
        <v>2022</v>
      </c>
      <c r="L2029" s="30">
        <v>43494</v>
      </c>
      <c r="M2029">
        <v>23196</v>
      </c>
    </row>
    <row r="2030" spans="2:13" x14ac:dyDescent="0.55000000000000004">
      <c r="B2030" s="30">
        <v>42697</v>
      </c>
      <c r="C2030">
        <v>2046</v>
      </c>
      <c r="L2030" s="30">
        <v>43493</v>
      </c>
      <c r="M2030">
        <v>23194</v>
      </c>
    </row>
    <row r="2031" spans="2:13" x14ac:dyDescent="0.55000000000000004">
      <c r="B2031" s="30">
        <v>42696</v>
      </c>
      <c r="C2031">
        <v>2099</v>
      </c>
      <c r="L2031" s="30">
        <v>43490</v>
      </c>
      <c r="M2031">
        <v>23192</v>
      </c>
    </row>
    <row r="2032" spans="2:13" x14ac:dyDescent="0.55000000000000004">
      <c r="B2032" s="30">
        <v>42695</v>
      </c>
      <c r="C2032">
        <v>2083</v>
      </c>
      <c r="L2032" s="30">
        <v>43489</v>
      </c>
      <c r="M2032">
        <v>23196</v>
      </c>
    </row>
    <row r="2033" spans="2:13" x14ac:dyDescent="0.55000000000000004">
      <c r="B2033" s="30">
        <v>42692</v>
      </c>
      <c r="C2033">
        <v>2152</v>
      </c>
      <c r="L2033" s="30">
        <v>43488</v>
      </c>
      <c r="M2033">
        <v>23196</v>
      </c>
    </row>
    <row r="2034" spans="2:13" x14ac:dyDescent="0.55000000000000004">
      <c r="B2034" s="30">
        <v>42691</v>
      </c>
      <c r="C2034">
        <v>2163</v>
      </c>
      <c r="L2034" s="30">
        <v>43487</v>
      </c>
      <c r="M2034">
        <v>23198</v>
      </c>
    </row>
    <row r="2035" spans="2:13" x14ac:dyDescent="0.55000000000000004">
      <c r="B2035" s="30">
        <v>42690</v>
      </c>
      <c r="C2035">
        <v>2163</v>
      </c>
      <c r="L2035" s="30">
        <v>43486</v>
      </c>
      <c r="M2035">
        <v>23198</v>
      </c>
    </row>
    <row r="2036" spans="2:13" x14ac:dyDescent="0.55000000000000004">
      <c r="B2036" s="30">
        <v>42689</v>
      </c>
      <c r="C2036">
        <v>2136</v>
      </c>
      <c r="L2036" s="30">
        <v>43483</v>
      </c>
      <c r="M2036">
        <v>23197</v>
      </c>
    </row>
    <row r="2037" spans="2:13" x14ac:dyDescent="0.55000000000000004">
      <c r="B2037" s="30">
        <v>42688</v>
      </c>
      <c r="C2037">
        <v>2099</v>
      </c>
      <c r="L2037" s="30">
        <v>43482</v>
      </c>
      <c r="M2037">
        <v>23198</v>
      </c>
    </row>
    <row r="2038" spans="2:13" x14ac:dyDescent="0.55000000000000004">
      <c r="B2038" s="30">
        <v>42685</v>
      </c>
      <c r="C2038">
        <v>2027</v>
      </c>
      <c r="L2038" s="30">
        <v>43481</v>
      </c>
      <c r="M2038">
        <v>23198</v>
      </c>
    </row>
    <row r="2039" spans="2:13" x14ac:dyDescent="0.55000000000000004">
      <c r="B2039" s="30">
        <v>42684</v>
      </c>
      <c r="C2039">
        <v>2077</v>
      </c>
      <c r="L2039" s="30">
        <v>43480</v>
      </c>
      <c r="M2039">
        <v>23203</v>
      </c>
    </row>
    <row r="2040" spans="2:13" x14ac:dyDescent="0.55000000000000004">
      <c r="B2040" s="30">
        <v>42683</v>
      </c>
      <c r="C2040">
        <v>2133</v>
      </c>
      <c r="L2040" s="30">
        <v>43479</v>
      </c>
      <c r="M2040">
        <v>23199</v>
      </c>
    </row>
    <row r="2041" spans="2:13" x14ac:dyDescent="0.55000000000000004">
      <c r="B2041" s="30">
        <v>42682</v>
      </c>
      <c r="C2041">
        <v>2085</v>
      </c>
      <c r="L2041" s="30">
        <v>43476</v>
      </c>
      <c r="M2041">
        <v>23198</v>
      </c>
    </row>
    <row r="2042" spans="2:13" x14ac:dyDescent="0.55000000000000004">
      <c r="B2042" s="30">
        <v>42681</v>
      </c>
      <c r="C2042">
        <v>2194</v>
      </c>
      <c r="L2042" s="30">
        <v>43475</v>
      </c>
      <c r="M2042">
        <v>23196</v>
      </c>
    </row>
    <row r="2043" spans="2:13" x14ac:dyDescent="0.55000000000000004">
      <c r="B2043" s="30">
        <v>42678</v>
      </c>
      <c r="C2043">
        <v>2188</v>
      </c>
      <c r="L2043" s="30">
        <v>43474</v>
      </c>
      <c r="M2043">
        <v>23198</v>
      </c>
    </row>
    <row r="2044" spans="2:13" x14ac:dyDescent="0.55000000000000004">
      <c r="B2044" s="30">
        <v>42677</v>
      </c>
      <c r="C2044">
        <v>2166</v>
      </c>
      <c r="L2044" s="30">
        <v>43473</v>
      </c>
      <c r="M2044">
        <v>23198</v>
      </c>
    </row>
    <row r="2045" spans="2:13" x14ac:dyDescent="0.55000000000000004">
      <c r="B2045" s="30">
        <v>42676</v>
      </c>
      <c r="C2045">
        <v>2164</v>
      </c>
      <c r="L2045" s="30">
        <v>43472</v>
      </c>
      <c r="M2045">
        <v>23198</v>
      </c>
    </row>
    <row r="2046" spans="2:13" x14ac:dyDescent="0.55000000000000004">
      <c r="B2046" s="30">
        <v>42675</v>
      </c>
      <c r="C2046">
        <v>2158</v>
      </c>
      <c r="L2046" s="30">
        <v>43469</v>
      </c>
      <c r="M2046">
        <v>23198</v>
      </c>
    </row>
    <row r="2047" spans="2:13" x14ac:dyDescent="0.55000000000000004">
      <c r="B2047" s="30">
        <v>42674</v>
      </c>
      <c r="C2047">
        <v>2184</v>
      </c>
      <c r="L2047" s="30">
        <v>43468</v>
      </c>
      <c r="M2047">
        <v>23200</v>
      </c>
    </row>
    <row r="2048" spans="2:13" x14ac:dyDescent="0.55000000000000004">
      <c r="B2048" s="30">
        <v>42671</v>
      </c>
      <c r="C2048">
        <v>2187</v>
      </c>
      <c r="L2048" s="30">
        <v>43467</v>
      </c>
      <c r="M2048">
        <v>23205</v>
      </c>
    </row>
    <row r="2049" spans="2:13" x14ac:dyDescent="0.55000000000000004">
      <c r="B2049" s="30">
        <v>42670</v>
      </c>
      <c r="C2049">
        <v>2175</v>
      </c>
      <c r="L2049" s="30">
        <v>43466</v>
      </c>
      <c r="M2049">
        <v>23190</v>
      </c>
    </row>
    <row r="2050" spans="2:13" x14ac:dyDescent="0.55000000000000004">
      <c r="B2050" s="30">
        <v>42669</v>
      </c>
      <c r="C2050">
        <v>2178</v>
      </c>
      <c r="L2050" s="30">
        <v>43465</v>
      </c>
      <c r="M2050">
        <v>23190</v>
      </c>
    </row>
    <row r="2051" spans="2:13" x14ac:dyDescent="0.55000000000000004">
      <c r="B2051" s="30">
        <v>42668</v>
      </c>
      <c r="C2051">
        <v>2178</v>
      </c>
      <c r="L2051" s="30">
        <v>43462</v>
      </c>
      <c r="M2051">
        <v>23190</v>
      </c>
    </row>
    <row r="2052" spans="2:13" x14ac:dyDescent="0.55000000000000004">
      <c r="B2052" s="30">
        <v>42667</v>
      </c>
      <c r="C2052">
        <v>2161</v>
      </c>
      <c r="L2052" s="30">
        <v>43461</v>
      </c>
      <c r="M2052">
        <v>23230</v>
      </c>
    </row>
    <row r="2053" spans="2:13" x14ac:dyDescent="0.55000000000000004">
      <c r="B2053" s="30">
        <v>42664</v>
      </c>
      <c r="C2053">
        <v>2153</v>
      </c>
      <c r="L2053" s="30">
        <v>43460</v>
      </c>
      <c r="M2053">
        <v>23260</v>
      </c>
    </row>
    <row r="2054" spans="2:13" x14ac:dyDescent="0.55000000000000004">
      <c r="B2054" s="30">
        <v>42663</v>
      </c>
      <c r="C2054">
        <v>2122</v>
      </c>
      <c r="L2054" s="30">
        <v>43459</v>
      </c>
      <c r="M2054">
        <v>23277</v>
      </c>
    </row>
    <row r="2055" spans="2:13" x14ac:dyDescent="0.55000000000000004">
      <c r="B2055" s="30">
        <v>42662</v>
      </c>
      <c r="C2055">
        <v>2129</v>
      </c>
      <c r="L2055" s="30">
        <v>43458</v>
      </c>
      <c r="M2055">
        <v>23278</v>
      </c>
    </row>
    <row r="2056" spans="2:13" x14ac:dyDescent="0.55000000000000004">
      <c r="B2056" s="30">
        <v>42661</v>
      </c>
      <c r="C2056">
        <v>2153</v>
      </c>
      <c r="L2056" s="30">
        <v>43455</v>
      </c>
      <c r="M2056">
        <v>23282</v>
      </c>
    </row>
    <row r="2057" spans="2:13" x14ac:dyDescent="0.55000000000000004">
      <c r="B2057" s="30">
        <v>42660</v>
      </c>
      <c r="C2057">
        <v>2109</v>
      </c>
      <c r="L2057" s="30">
        <v>43454</v>
      </c>
      <c r="M2057">
        <v>23300</v>
      </c>
    </row>
    <row r="2058" spans="2:13" x14ac:dyDescent="0.55000000000000004">
      <c r="B2058" s="30">
        <v>42657</v>
      </c>
      <c r="C2058">
        <v>2074</v>
      </c>
      <c r="L2058" s="30">
        <v>43453</v>
      </c>
      <c r="M2058">
        <v>23307</v>
      </c>
    </row>
    <row r="2059" spans="2:13" x14ac:dyDescent="0.55000000000000004">
      <c r="B2059" s="30">
        <v>42656</v>
      </c>
      <c r="C2059">
        <v>2070</v>
      </c>
      <c r="L2059" s="30">
        <v>43452</v>
      </c>
      <c r="M2059">
        <v>23318</v>
      </c>
    </row>
    <row r="2060" spans="2:13" x14ac:dyDescent="0.55000000000000004">
      <c r="B2060" s="30">
        <v>42655</v>
      </c>
      <c r="C2060">
        <v>2070</v>
      </c>
      <c r="L2060" s="30">
        <v>43451</v>
      </c>
      <c r="M2060">
        <v>23318</v>
      </c>
    </row>
    <row r="2061" spans="2:13" x14ac:dyDescent="0.55000000000000004">
      <c r="B2061" s="30">
        <v>42654</v>
      </c>
      <c r="C2061">
        <v>2059</v>
      </c>
      <c r="L2061" s="30">
        <v>43448</v>
      </c>
      <c r="M2061">
        <v>23287</v>
      </c>
    </row>
    <row r="2062" spans="2:13" x14ac:dyDescent="0.55000000000000004">
      <c r="B2062" s="30">
        <v>42653</v>
      </c>
      <c r="C2062">
        <v>2046</v>
      </c>
      <c r="L2062" s="30">
        <v>43447</v>
      </c>
      <c r="M2062">
        <v>23285</v>
      </c>
    </row>
    <row r="2063" spans="2:13" x14ac:dyDescent="0.55000000000000004">
      <c r="B2063" s="30">
        <v>42650</v>
      </c>
      <c r="C2063">
        <v>2029</v>
      </c>
      <c r="L2063" s="30">
        <v>43446</v>
      </c>
      <c r="M2063">
        <v>23300</v>
      </c>
    </row>
    <row r="2064" spans="2:13" x14ac:dyDescent="0.55000000000000004">
      <c r="B2064" s="30">
        <v>42649</v>
      </c>
      <c r="C2064">
        <v>2012</v>
      </c>
      <c r="L2064" s="30">
        <v>43445</v>
      </c>
      <c r="M2064">
        <v>23300</v>
      </c>
    </row>
    <row r="2065" spans="2:13" x14ac:dyDescent="0.55000000000000004">
      <c r="B2065" s="30">
        <v>42648</v>
      </c>
      <c r="C2065">
        <v>2020</v>
      </c>
      <c r="L2065" s="30">
        <v>43444</v>
      </c>
      <c r="M2065">
        <v>23305</v>
      </c>
    </row>
    <row r="2066" spans="2:13" x14ac:dyDescent="0.55000000000000004">
      <c r="B2066" s="30">
        <v>42647</v>
      </c>
      <c r="C2066">
        <v>1986</v>
      </c>
      <c r="L2066" s="30">
        <v>43441</v>
      </c>
      <c r="M2066">
        <v>23310</v>
      </c>
    </row>
    <row r="2067" spans="2:13" x14ac:dyDescent="0.55000000000000004">
      <c r="B2067" s="30">
        <v>42646</v>
      </c>
      <c r="C2067">
        <v>2004</v>
      </c>
      <c r="L2067" s="30">
        <v>43440</v>
      </c>
      <c r="M2067">
        <v>23332</v>
      </c>
    </row>
    <row r="2068" spans="2:13" x14ac:dyDescent="0.55000000000000004">
      <c r="B2068" s="30">
        <v>42643</v>
      </c>
      <c r="C2068">
        <v>2004</v>
      </c>
      <c r="L2068" s="30">
        <v>43439</v>
      </c>
      <c r="M2068">
        <v>23306</v>
      </c>
    </row>
    <row r="2069" spans="2:13" x14ac:dyDescent="0.55000000000000004">
      <c r="B2069" s="30">
        <v>42642</v>
      </c>
      <c r="C2069">
        <v>2010</v>
      </c>
      <c r="L2069" s="30">
        <v>43438</v>
      </c>
      <c r="M2069">
        <v>23283</v>
      </c>
    </row>
    <row r="2070" spans="2:13" x14ac:dyDescent="0.55000000000000004">
      <c r="B2070" s="30">
        <v>42641</v>
      </c>
      <c r="C2070">
        <v>1996</v>
      </c>
      <c r="L2070" s="30">
        <v>43437</v>
      </c>
      <c r="M2070">
        <v>23300</v>
      </c>
    </row>
    <row r="2071" spans="2:13" x14ac:dyDescent="0.55000000000000004">
      <c r="B2071" s="30">
        <v>42640</v>
      </c>
      <c r="C2071">
        <v>1995</v>
      </c>
      <c r="L2071" s="30">
        <v>43434</v>
      </c>
      <c r="M2071">
        <v>23315</v>
      </c>
    </row>
    <row r="2072" spans="2:13" x14ac:dyDescent="0.55000000000000004">
      <c r="B2072" s="30">
        <v>42639</v>
      </c>
      <c r="C2072">
        <v>1975</v>
      </c>
      <c r="L2072" s="30">
        <v>43433</v>
      </c>
      <c r="M2072">
        <v>23327</v>
      </c>
    </row>
    <row r="2073" spans="2:13" x14ac:dyDescent="0.55000000000000004">
      <c r="B2073" s="30">
        <v>42636</v>
      </c>
      <c r="C2073">
        <v>1966</v>
      </c>
      <c r="L2073" s="30">
        <v>43432</v>
      </c>
      <c r="M2073">
        <v>23335</v>
      </c>
    </row>
    <row r="2074" spans="2:13" x14ac:dyDescent="0.55000000000000004">
      <c r="B2074" s="30">
        <v>42635</v>
      </c>
      <c r="C2074">
        <v>2002</v>
      </c>
      <c r="L2074" s="30">
        <v>43431</v>
      </c>
      <c r="M2074">
        <v>23345</v>
      </c>
    </row>
    <row r="2075" spans="2:13" x14ac:dyDescent="0.55000000000000004">
      <c r="B2075" s="30">
        <v>42634</v>
      </c>
      <c r="C2075">
        <v>1986</v>
      </c>
      <c r="L2075" s="30">
        <v>43430</v>
      </c>
      <c r="M2075">
        <v>23340</v>
      </c>
    </row>
    <row r="2076" spans="2:13" x14ac:dyDescent="0.55000000000000004">
      <c r="B2076" s="30">
        <v>42633</v>
      </c>
      <c r="C2076">
        <v>1955</v>
      </c>
      <c r="L2076" s="30">
        <v>43427</v>
      </c>
      <c r="M2076">
        <v>23360</v>
      </c>
    </row>
    <row r="2077" spans="2:13" x14ac:dyDescent="0.55000000000000004">
      <c r="B2077" s="30">
        <v>42632</v>
      </c>
      <c r="C2077">
        <v>1960</v>
      </c>
      <c r="L2077" s="30">
        <v>43426</v>
      </c>
      <c r="M2077">
        <v>23345</v>
      </c>
    </row>
    <row r="2078" spans="2:13" x14ac:dyDescent="0.55000000000000004">
      <c r="B2078" s="30">
        <v>42629</v>
      </c>
      <c r="C2078">
        <v>1937</v>
      </c>
      <c r="L2078" s="30">
        <v>43425</v>
      </c>
      <c r="M2078">
        <v>23352</v>
      </c>
    </row>
    <row r="2079" spans="2:13" x14ac:dyDescent="0.55000000000000004">
      <c r="B2079" s="30">
        <v>42628</v>
      </c>
      <c r="C2079">
        <v>1936</v>
      </c>
      <c r="L2079" s="30">
        <v>43424</v>
      </c>
      <c r="M2079">
        <v>23336</v>
      </c>
    </row>
    <row r="2080" spans="2:13" x14ac:dyDescent="0.55000000000000004">
      <c r="B2080" s="30">
        <v>42627</v>
      </c>
      <c r="C2080">
        <v>1942</v>
      </c>
      <c r="L2080" s="30">
        <v>43423</v>
      </c>
      <c r="M2080">
        <v>23310</v>
      </c>
    </row>
    <row r="2081" spans="2:13" x14ac:dyDescent="0.55000000000000004">
      <c r="B2081" s="30">
        <v>42626</v>
      </c>
      <c r="C2081">
        <v>1943</v>
      </c>
      <c r="L2081" s="30">
        <v>43420</v>
      </c>
      <c r="M2081">
        <v>23306</v>
      </c>
    </row>
    <row r="2082" spans="2:13" x14ac:dyDescent="0.55000000000000004">
      <c r="B2082" s="30">
        <v>42625</v>
      </c>
      <c r="C2082">
        <v>1926</v>
      </c>
      <c r="L2082" s="30">
        <v>43419</v>
      </c>
      <c r="M2082">
        <v>23308</v>
      </c>
    </row>
    <row r="2083" spans="2:13" x14ac:dyDescent="0.55000000000000004">
      <c r="B2083" s="30">
        <v>42622</v>
      </c>
      <c r="C2083">
        <v>1909</v>
      </c>
      <c r="L2083" s="30">
        <v>43418</v>
      </c>
      <c r="M2083">
        <v>23315</v>
      </c>
    </row>
    <row r="2084" spans="2:13" x14ac:dyDescent="0.55000000000000004">
      <c r="B2084" s="30">
        <v>42621</v>
      </c>
      <c r="C2084">
        <v>1927</v>
      </c>
      <c r="L2084" s="30">
        <v>43417</v>
      </c>
      <c r="M2084">
        <v>23308</v>
      </c>
    </row>
    <row r="2085" spans="2:13" x14ac:dyDescent="0.55000000000000004">
      <c r="B2085" s="30">
        <v>42620</v>
      </c>
      <c r="C2085">
        <v>1912</v>
      </c>
      <c r="L2085" s="30">
        <v>43416</v>
      </c>
      <c r="M2085">
        <v>23300</v>
      </c>
    </row>
    <row r="2086" spans="2:13" x14ac:dyDescent="0.55000000000000004">
      <c r="B2086" s="30">
        <v>42619</v>
      </c>
      <c r="C2086">
        <v>1889</v>
      </c>
      <c r="L2086" s="30">
        <v>43413</v>
      </c>
      <c r="M2086">
        <v>23290</v>
      </c>
    </row>
    <row r="2087" spans="2:13" x14ac:dyDescent="0.55000000000000004">
      <c r="B2087" s="30">
        <v>42618</v>
      </c>
      <c r="C2087">
        <v>1877</v>
      </c>
      <c r="L2087" s="30">
        <v>43412</v>
      </c>
      <c r="M2087">
        <v>23318</v>
      </c>
    </row>
    <row r="2088" spans="2:13" x14ac:dyDescent="0.55000000000000004">
      <c r="B2088" s="30">
        <v>42615</v>
      </c>
      <c r="C2088">
        <v>1865</v>
      </c>
      <c r="L2088" s="30">
        <v>43411</v>
      </c>
      <c r="M2088">
        <v>23326</v>
      </c>
    </row>
    <row r="2089" spans="2:13" x14ac:dyDescent="0.55000000000000004">
      <c r="B2089" s="30">
        <v>42614</v>
      </c>
      <c r="C2089">
        <v>1852</v>
      </c>
      <c r="L2089" s="30">
        <v>43410</v>
      </c>
      <c r="M2089">
        <v>23325</v>
      </c>
    </row>
    <row r="2090" spans="2:13" x14ac:dyDescent="0.55000000000000004">
      <c r="B2090" s="30">
        <v>42613</v>
      </c>
      <c r="C2090">
        <v>1828</v>
      </c>
      <c r="L2090" s="30">
        <v>43409</v>
      </c>
      <c r="M2090">
        <v>23310</v>
      </c>
    </row>
    <row r="2091" spans="2:13" x14ac:dyDescent="0.55000000000000004">
      <c r="B2091" s="30">
        <v>42612</v>
      </c>
      <c r="C2091">
        <v>1816</v>
      </c>
      <c r="L2091" s="30">
        <v>43406</v>
      </c>
      <c r="M2091">
        <v>23330</v>
      </c>
    </row>
    <row r="2092" spans="2:13" x14ac:dyDescent="0.55000000000000004">
      <c r="B2092" s="30">
        <v>42611</v>
      </c>
      <c r="C2092">
        <v>1819</v>
      </c>
      <c r="L2092" s="30">
        <v>43405</v>
      </c>
      <c r="M2092">
        <v>23345</v>
      </c>
    </row>
    <row r="2093" spans="2:13" x14ac:dyDescent="0.55000000000000004">
      <c r="B2093" s="30">
        <v>42608</v>
      </c>
      <c r="C2093">
        <v>1819</v>
      </c>
      <c r="L2093" s="30">
        <v>43404</v>
      </c>
      <c r="M2093">
        <v>23343</v>
      </c>
    </row>
    <row r="2094" spans="2:13" x14ac:dyDescent="0.55000000000000004">
      <c r="B2094" s="30">
        <v>42607</v>
      </c>
      <c r="C2094">
        <v>1797</v>
      </c>
      <c r="L2094" s="30">
        <v>43403</v>
      </c>
      <c r="M2094">
        <v>23343</v>
      </c>
    </row>
    <row r="2095" spans="2:13" x14ac:dyDescent="0.55000000000000004">
      <c r="B2095" s="30">
        <v>42606</v>
      </c>
      <c r="C2095">
        <v>1810</v>
      </c>
      <c r="L2095" s="30">
        <v>43402</v>
      </c>
      <c r="M2095">
        <v>23343</v>
      </c>
    </row>
    <row r="2096" spans="2:13" x14ac:dyDescent="0.55000000000000004">
      <c r="B2096" s="30">
        <v>42605</v>
      </c>
      <c r="C2096">
        <v>1821</v>
      </c>
      <c r="L2096" s="30">
        <v>43399</v>
      </c>
      <c r="M2096">
        <v>23355</v>
      </c>
    </row>
    <row r="2097" spans="2:13" x14ac:dyDescent="0.55000000000000004">
      <c r="B2097" s="30">
        <v>42604</v>
      </c>
      <c r="C2097">
        <v>1831</v>
      </c>
      <c r="L2097" s="30">
        <v>43398</v>
      </c>
      <c r="M2097">
        <v>23350</v>
      </c>
    </row>
    <row r="2098" spans="2:13" x14ac:dyDescent="0.55000000000000004">
      <c r="B2098" s="30">
        <v>42601</v>
      </c>
      <c r="C2098">
        <v>1817</v>
      </c>
      <c r="L2098" s="30">
        <v>43397</v>
      </c>
      <c r="M2098">
        <v>23348</v>
      </c>
    </row>
    <row r="2099" spans="2:13" x14ac:dyDescent="0.55000000000000004">
      <c r="B2099" s="30">
        <v>42600</v>
      </c>
      <c r="C2099">
        <v>1823</v>
      </c>
      <c r="L2099" s="30">
        <v>43396</v>
      </c>
      <c r="M2099">
        <v>23348</v>
      </c>
    </row>
    <row r="2100" spans="2:13" x14ac:dyDescent="0.55000000000000004">
      <c r="B2100" s="30">
        <v>42599</v>
      </c>
      <c r="C2100">
        <v>1785</v>
      </c>
      <c r="L2100" s="30">
        <v>43395</v>
      </c>
      <c r="M2100">
        <v>23348</v>
      </c>
    </row>
    <row r="2101" spans="2:13" x14ac:dyDescent="0.55000000000000004">
      <c r="B2101" s="30">
        <v>42598</v>
      </c>
      <c r="C2101">
        <v>1810</v>
      </c>
      <c r="L2101" s="30">
        <v>43392</v>
      </c>
      <c r="M2101">
        <v>23351</v>
      </c>
    </row>
    <row r="2102" spans="2:13" x14ac:dyDescent="0.55000000000000004">
      <c r="B2102" s="30">
        <v>42597</v>
      </c>
      <c r="C2102">
        <v>1834</v>
      </c>
      <c r="L2102" s="30">
        <v>43391</v>
      </c>
      <c r="M2102">
        <v>23347</v>
      </c>
    </row>
    <row r="2103" spans="2:13" x14ac:dyDescent="0.55000000000000004">
      <c r="B2103" s="30">
        <v>42594</v>
      </c>
      <c r="C2103">
        <v>1835</v>
      </c>
      <c r="L2103" s="30">
        <v>43390</v>
      </c>
      <c r="M2103">
        <v>23342</v>
      </c>
    </row>
    <row r="2104" spans="2:13" x14ac:dyDescent="0.55000000000000004">
      <c r="B2104" s="30">
        <v>42593</v>
      </c>
      <c r="C2104">
        <v>1841</v>
      </c>
      <c r="L2104" s="30">
        <v>43389</v>
      </c>
      <c r="M2104">
        <v>23338</v>
      </c>
    </row>
    <row r="2105" spans="2:13" x14ac:dyDescent="0.55000000000000004">
      <c r="B2105" s="30">
        <v>42592</v>
      </c>
      <c r="C2105">
        <v>1848</v>
      </c>
      <c r="L2105" s="30">
        <v>43388</v>
      </c>
      <c r="M2105">
        <v>23330</v>
      </c>
    </row>
    <row r="2106" spans="2:13" x14ac:dyDescent="0.55000000000000004">
      <c r="B2106" s="30">
        <v>42591</v>
      </c>
      <c r="C2106">
        <v>1848</v>
      </c>
      <c r="L2106" s="30">
        <v>43385</v>
      </c>
      <c r="M2106">
        <v>23343</v>
      </c>
    </row>
    <row r="2107" spans="2:13" x14ac:dyDescent="0.55000000000000004">
      <c r="B2107" s="30">
        <v>42590</v>
      </c>
      <c r="C2107">
        <v>1855</v>
      </c>
      <c r="L2107" s="30">
        <v>43384</v>
      </c>
      <c r="M2107">
        <v>23345</v>
      </c>
    </row>
    <row r="2108" spans="2:13" x14ac:dyDescent="0.55000000000000004">
      <c r="B2108" s="30">
        <v>42587</v>
      </c>
      <c r="C2108">
        <v>1853</v>
      </c>
      <c r="L2108" s="30">
        <v>43383</v>
      </c>
      <c r="M2108">
        <v>23350</v>
      </c>
    </row>
    <row r="2109" spans="2:13" x14ac:dyDescent="0.55000000000000004">
      <c r="B2109" s="30">
        <v>42586</v>
      </c>
      <c r="C2109">
        <v>1846</v>
      </c>
      <c r="L2109" s="30">
        <v>43382</v>
      </c>
      <c r="M2109">
        <v>23355</v>
      </c>
    </row>
    <row r="2110" spans="2:13" x14ac:dyDescent="0.55000000000000004">
      <c r="B2110" s="30">
        <v>42585</v>
      </c>
      <c r="C2110">
        <v>1853</v>
      </c>
      <c r="L2110" s="30">
        <v>43381</v>
      </c>
      <c r="M2110">
        <v>23350</v>
      </c>
    </row>
    <row r="2111" spans="2:13" x14ac:dyDescent="0.55000000000000004">
      <c r="B2111" s="30">
        <v>42584</v>
      </c>
      <c r="C2111">
        <v>1851</v>
      </c>
      <c r="L2111" s="30">
        <v>43378</v>
      </c>
      <c r="M2111">
        <v>23330</v>
      </c>
    </row>
    <row r="2112" spans="2:13" x14ac:dyDescent="0.55000000000000004">
      <c r="B2112" s="30">
        <v>42583</v>
      </c>
      <c r="C2112">
        <v>1843</v>
      </c>
      <c r="L2112" s="30">
        <v>43377</v>
      </c>
      <c r="M2112">
        <v>23348</v>
      </c>
    </row>
    <row r="2113" spans="2:13" x14ac:dyDescent="0.55000000000000004">
      <c r="B2113" s="30">
        <v>42580</v>
      </c>
      <c r="C2113">
        <v>1848</v>
      </c>
      <c r="L2113" s="30">
        <v>43376</v>
      </c>
      <c r="M2113">
        <v>23340</v>
      </c>
    </row>
    <row r="2114" spans="2:13" x14ac:dyDescent="0.55000000000000004">
      <c r="B2114" s="30">
        <v>42579</v>
      </c>
      <c r="C2114">
        <v>1813</v>
      </c>
      <c r="L2114" s="30">
        <v>43375</v>
      </c>
      <c r="M2114">
        <v>23325</v>
      </c>
    </row>
    <row r="2115" spans="2:13" x14ac:dyDescent="0.55000000000000004">
      <c r="B2115" s="30">
        <v>42578</v>
      </c>
      <c r="C2115">
        <v>1804</v>
      </c>
      <c r="L2115" s="30">
        <v>43374</v>
      </c>
      <c r="M2115">
        <v>23330</v>
      </c>
    </row>
    <row r="2116" spans="2:13" x14ac:dyDescent="0.55000000000000004">
      <c r="B2116" s="30">
        <v>42577</v>
      </c>
      <c r="C2116">
        <v>1811</v>
      </c>
      <c r="L2116" s="30">
        <v>43371</v>
      </c>
      <c r="M2116">
        <v>23325</v>
      </c>
    </row>
    <row r="2117" spans="2:13" x14ac:dyDescent="0.55000000000000004">
      <c r="B2117" s="30">
        <v>42576</v>
      </c>
      <c r="C2117">
        <v>1786</v>
      </c>
      <c r="L2117" s="30">
        <v>43370</v>
      </c>
      <c r="M2117">
        <v>23345</v>
      </c>
    </row>
    <row r="2118" spans="2:13" x14ac:dyDescent="0.55000000000000004">
      <c r="B2118" s="30">
        <v>42573</v>
      </c>
      <c r="C2118">
        <v>1788</v>
      </c>
      <c r="L2118" s="30">
        <v>43369</v>
      </c>
      <c r="M2118">
        <v>23348</v>
      </c>
    </row>
    <row r="2119" spans="2:13" x14ac:dyDescent="0.55000000000000004">
      <c r="B2119" s="30">
        <v>42572</v>
      </c>
      <c r="C2119">
        <v>1818</v>
      </c>
      <c r="L2119" s="30">
        <v>43368</v>
      </c>
      <c r="M2119">
        <v>23345</v>
      </c>
    </row>
    <row r="2120" spans="2:13" x14ac:dyDescent="0.55000000000000004">
      <c r="B2120" s="30">
        <v>42571</v>
      </c>
      <c r="C2120">
        <v>1816</v>
      </c>
      <c r="L2120" s="30">
        <v>43367</v>
      </c>
      <c r="M2120">
        <v>23337</v>
      </c>
    </row>
    <row r="2121" spans="2:13" x14ac:dyDescent="0.55000000000000004">
      <c r="B2121" s="30">
        <v>42570</v>
      </c>
      <c r="C2121">
        <v>1812</v>
      </c>
      <c r="L2121" s="30">
        <v>43364</v>
      </c>
      <c r="M2121">
        <v>23332</v>
      </c>
    </row>
    <row r="2122" spans="2:13" x14ac:dyDescent="0.55000000000000004">
      <c r="B2122" s="30">
        <v>42569</v>
      </c>
      <c r="C2122">
        <v>1814</v>
      </c>
      <c r="L2122" s="30">
        <v>43363</v>
      </c>
      <c r="M2122">
        <v>23320</v>
      </c>
    </row>
    <row r="2123" spans="2:13" x14ac:dyDescent="0.55000000000000004">
      <c r="B2123" s="30">
        <v>42566</v>
      </c>
      <c r="C2123">
        <v>1819</v>
      </c>
      <c r="L2123" s="30">
        <v>43362</v>
      </c>
      <c r="M2123">
        <v>23305</v>
      </c>
    </row>
    <row r="2124" spans="2:13" x14ac:dyDescent="0.55000000000000004">
      <c r="B2124" s="30">
        <v>42565</v>
      </c>
      <c r="C2124">
        <v>1842</v>
      </c>
      <c r="L2124" s="30">
        <v>43361</v>
      </c>
      <c r="M2124">
        <v>23280</v>
      </c>
    </row>
    <row r="2125" spans="2:13" x14ac:dyDescent="0.55000000000000004">
      <c r="B2125" s="30">
        <v>42564</v>
      </c>
      <c r="C2125">
        <v>1816</v>
      </c>
      <c r="L2125" s="30">
        <v>43360</v>
      </c>
      <c r="M2125">
        <v>23289</v>
      </c>
    </row>
    <row r="2126" spans="2:13" x14ac:dyDescent="0.55000000000000004">
      <c r="B2126" s="30">
        <v>42563</v>
      </c>
      <c r="C2126">
        <v>1809</v>
      </c>
      <c r="L2126" s="30">
        <v>43357</v>
      </c>
      <c r="M2126">
        <v>23247</v>
      </c>
    </row>
    <row r="2127" spans="2:13" x14ac:dyDescent="0.55000000000000004">
      <c r="B2127" s="30">
        <v>42562</v>
      </c>
      <c r="C2127">
        <v>1829</v>
      </c>
      <c r="L2127" s="30">
        <v>43356</v>
      </c>
      <c r="M2127">
        <v>23276</v>
      </c>
    </row>
    <row r="2128" spans="2:13" x14ac:dyDescent="0.55000000000000004">
      <c r="B2128" s="30">
        <v>42559</v>
      </c>
      <c r="C2128">
        <v>1797</v>
      </c>
      <c r="L2128" s="30">
        <v>43355</v>
      </c>
      <c r="M2128">
        <v>23280</v>
      </c>
    </row>
    <row r="2129" spans="2:13" x14ac:dyDescent="0.55000000000000004">
      <c r="B2129" s="30">
        <v>42558</v>
      </c>
      <c r="C2129">
        <v>1762</v>
      </c>
      <c r="L2129" s="30">
        <v>43354</v>
      </c>
      <c r="M2129">
        <v>23283</v>
      </c>
    </row>
    <row r="2130" spans="2:13" x14ac:dyDescent="0.55000000000000004">
      <c r="B2130" s="30">
        <v>42557</v>
      </c>
      <c r="C2130">
        <v>1749</v>
      </c>
      <c r="L2130" s="30">
        <v>43353</v>
      </c>
      <c r="M2130">
        <v>23302</v>
      </c>
    </row>
    <row r="2131" spans="2:13" x14ac:dyDescent="0.55000000000000004">
      <c r="B2131" s="30">
        <v>42556</v>
      </c>
      <c r="C2131">
        <v>1759</v>
      </c>
      <c r="L2131" s="30">
        <v>43350</v>
      </c>
      <c r="M2131">
        <v>23302</v>
      </c>
    </row>
    <row r="2132" spans="2:13" x14ac:dyDescent="0.55000000000000004">
      <c r="B2132" s="30">
        <v>42555</v>
      </c>
      <c r="C2132">
        <v>1768</v>
      </c>
      <c r="L2132" s="30">
        <v>43349</v>
      </c>
      <c r="M2132">
        <v>23314</v>
      </c>
    </row>
    <row r="2133" spans="2:13" x14ac:dyDescent="0.55000000000000004">
      <c r="B2133" s="30">
        <v>42552</v>
      </c>
      <c r="C2133">
        <v>1745</v>
      </c>
      <c r="L2133" s="30">
        <v>43348</v>
      </c>
      <c r="M2133">
        <v>23313</v>
      </c>
    </row>
    <row r="2134" spans="2:13" x14ac:dyDescent="0.55000000000000004">
      <c r="B2134" s="30">
        <v>42551</v>
      </c>
      <c r="C2134">
        <v>1717</v>
      </c>
      <c r="L2134" s="30">
        <v>43347</v>
      </c>
      <c r="M2134">
        <v>23312</v>
      </c>
    </row>
    <row r="2135" spans="2:13" x14ac:dyDescent="0.55000000000000004">
      <c r="B2135" s="30">
        <v>42550</v>
      </c>
      <c r="C2135">
        <v>1722</v>
      </c>
      <c r="L2135" s="30">
        <v>43346</v>
      </c>
      <c r="M2135">
        <v>23303</v>
      </c>
    </row>
    <row r="2136" spans="2:13" x14ac:dyDescent="0.55000000000000004">
      <c r="B2136" s="30">
        <v>42549</v>
      </c>
      <c r="C2136">
        <v>1701</v>
      </c>
      <c r="L2136" s="30">
        <v>43343</v>
      </c>
      <c r="M2136">
        <v>23303</v>
      </c>
    </row>
    <row r="2137" spans="2:13" x14ac:dyDescent="0.55000000000000004">
      <c r="B2137" s="30">
        <v>42548</v>
      </c>
      <c r="C2137">
        <v>1664</v>
      </c>
      <c r="L2137" s="30">
        <v>43342</v>
      </c>
      <c r="M2137">
        <v>23302</v>
      </c>
    </row>
    <row r="2138" spans="2:13" x14ac:dyDescent="0.55000000000000004">
      <c r="B2138" s="30">
        <v>42545</v>
      </c>
      <c r="C2138">
        <v>1669</v>
      </c>
      <c r="L2138" s="30">
        <v>43341</v>
      </c>
      <c r="M2138">
        <v>23300</v>
      </c>
    </row>
    <row r="2139" spans="2:13" x14ac:dyDescent="0.55000000000000004">
      <c r="B2139" s="30">
        <v>42544</v>
      </c>
      <c r="C2139">
        <v>1718</v>
      </c>
      <c r="L2139" s="30">
        <v>43340</v>
      </c>
      <c r="M2139">
        <v>23295</v>
      </c>
    </row>
    <row r="2140" spans="2:13" x14ac:dyDescent="0.55000000000000004">
      <c r="B2140" s="30">
        <v>42543</v>
      </c>
      <c r="C2140">
        <v>1708</v>
      </c>
      <c r="L2140" s="30">
        <v>43339</v>
      </c>
      <c r="M2140">
        <v>23293</v>
      </c>
    </row>
    <row r="2141" spans="2:13" x14ac:dyDescent="0.55000000000000004">
      <c r="B2141" s="30">
        <v>42542</v>
      </c>
      <c r="C2141">
        <v>1715</v>
      </c>
      <c r="L2141" s="30">
        <v>43336</v>
      </c>
      <c r="M2141">
        <v>23300</v>
      </c>
    </row>
    <row r="2142" spans="2:13" x14ac:dyDescent="0.55000000000000004">
      <c r="B2142" s="30">
        <v>42541</v>
      </c>
      <c r="C2142">
        <v>1693</v>
      </c>
      <c r="L2142" s="30">
        <v>43335</v>
      </c>
      <c r="M2142">
        <v>23281</v>
      </c>
    </row>
    <row r="2143" spans="2:13" x14ac:dyDescent="0.55000000000000004">
      <c r="B2143" s="30">
        <v>42538</v>
      </c>
      <c r="C2143">
        <v>1674</v>
      </c>
      <c r="L2143" s="30">
        <v>43334</v>
      </c>
      <c r="M2143">
        <v>23274</v>
      </c>
    </row>
    <row r="2144" spans="2:13" x14ac:dyDescent="0.55000000000000004">
      <c r="B2144" s="30">
        <v>42537</v>
      </c>
      <c r="C2144">
        <v>1648</v>
      </c>
      <c r="L2144" s="30">
        <v>43333</v>
      </c>
      <c r="M2144">
        <v>23268</v>
      </c>
    </row>
    <row r="2145" spans="2:13" x14ac:dyDescent="0.55000000000000004">
      <c r="B2145" s="30">
        <v>42536</v>
      </c>
      <c r="C2145">
        <v>1646</v>
      </c>
      <c r="L2145" s="30">
        <v>43332</v>
      </c>
      <c r="M2145">
        <v>23272</v>
      </c>
    </row>
    <row r="2146" spans="2:13" x14ac:dyDescent="0.55000000000000004">
      <c r="B2146" s="30">
        <v>42535</v>
      </c>
      <c r="C2146">
        <v>1651</v>
      </c>
      <c r="L2146" s="30">
        <v>43329</v>
      </c>
      <c r="M2146">
        <v>23293</v>
      </c>
    </row>
    <row r="2147" spans="2:13" x14ac:dyDescent="0.55000000000000004">
      <c r="B2147" s="30">
        <v>42534</v>
      </c>
      <c r="C2147">
        <v>1681</v>
      </c>
      <c r="L2147" s="30">
        <v>43328</v>
      </c>
      <c r="M2147">
        <v>23312</v>
      </c>
    </row>
    <row r="2148" spans="2:13" x14ac:dyDescent="0.55000000000000004">
      <c r="B2148" s="30">
        <v>42531</v>
      </c>
      <c r="C2148">
        <v>1674</v>
      </c>
      <c r="L2148" s="30">
        <v>43327</v>
      </c>
      <c r="M2148">
        <v>23310</v>
      </c>
    </row>
    <row r="2149" spans="2:13" x14ac:dyDescent="0.55000000000000004">
      <c r="B2149" s="30">
        <v>42530</v>
      </c>
      <c r="C2149">
        <v>1714</v>
      </c>
      <c r="L2149" s="30">
        <v>43326</v>
      </c>
      <c r="M2149">
        <v>23314</v>
      </c>
    </row>
    <row r="2150" spans="2:13" x14ac:dyDescent="0.55000000000000004">
      <c r="B2150" s="30">
        <v>42529</v>
      </c>
      <c r="C2150">
        <v>1726</v>
      </c>
      <c r="L2150" s="30">
        <v>43325</v>
      </c>
      <c r="M2150">
        <v>23310</v>
      </c>
    </row>
    <row r="2151" spans="2:13" x14ac:dyDescent="0.55000000000000004">
      <c r="B2151" s="30">
        <v>42528</v>
      </c>
      <c r="C2151">
        <v>1712</v>
      </c>
      <c r="L2151" s="30">
        <v>43322</v>
      </c>
      <c r="M2151">
        <v>23275</v>
      </c>
    </row>
    <row r="2152" spans="2:13" x14ac:dyDescent="0.55000000000000004">
      <c r="B2152" s="30">
        <v>42527</v>
      </c>
      <c r="C2152">
        <v>1689</v>
      </c>
      <c r="L2152" s="30">
        <v>43321</v>
      </c>
      <c r="M2152">
        <v>23275</v>
      </c>
    </row>
    <row r="2153" spans="2:13" x14ac:dyDescent="0.55000000000000004">
      <c r="B2153" s="30">
        <v>42524</v>
      </c>
      <c r="C2153">
        <v>1668</v>
      </c>
      <c r="L2153" s="30">
        <v>43320</v>
      </c>
      <c r="M2153">
        <v>23282</v>
      </c>
    </row>
    <row r="2154" spans="2:13" x14ac:dyDescent="0.55000000000000004">
      <c r="B2154" s="30">
        <v>42523</v>
      </c>
      <c r="C2154">
        <v>1656</v>
      </c>
      <c r="L2154" s="30">
        <v>43319</v>
      </c>
      <c r="M2154">
        <v>23302</v>
      </c>
    </row>
    <row r="2155" spans="2:13" x14ac:dyDescent="0.55000000000000004">
      <c r="B2155" s="30">
        <v>42522</v>
      </c>
      <c r="C2155">
        <v>1667</v>
      </c>
      <c r="L2155" s="30">
        <v>43318</v>
      </c>
      <c r="M2155">
        <v>23306</v>
      </c>
    </row>
    <row r="2156" spans="2:13" x14ac:dyDescent="0.55000000000000004">
      <c r="B2156" s="30">
        <v>42521</v>
      </c>
      <c r="C2156">
        <v>1648</v>
      </c>
      <c r="L2156" s="30">
        <v>43315</v>
      </c>
      <c r="M2156">
        <v>23304</v>
      </c>
    </row>
    <row r="2157" spans="2:13" x14ac:dyDescent="0.55000000000000004">
      <c r="B2157" s="30">
        <v>42520</v>
      </c>
      <c r="C2157">
        <v>1640</v>
      </c>
      <c r="L2157" s="30">
        <v>43314</v>
      </c>
      <c r="M2157">
        <v>23280</v>
      </c>
    </row>
    <row r="2158" spans="2:13" x14ac:dyDescent="0.55000000000000004">
      <c r="B2158" s="30">
        <v>42517</v>
      </c>
      <c r="C2158">
        <v>1640</v>
      </c>
      <c r="L2158" s="30">
        <v>43313</v>
      </c>
      <c r="M2158">
        <v>23290</v>
      </c>
    </row>
    <row r="2159" spans="2:13" x14ac:dyDescent="0.55000000000000004">
      <c r="B2159" s="30">
        <v>42516</v>
      </c>
      <c r="C2159">
        <v>1639</v>
      </c>
      <c r="L2159" s="30">
        <v>43312</v>
      </c>
      <c r="M2159">
        <v>23280</v>
      </c>
    </row>
    <row r="2160" spans="2:13" x14ac:dyDescent="0.55000000000000004">
      <c r="B2160" s="30">
        <v>42515</v>
      </c>
      <c r="C2160">
        <v>1644</v>
      </c>
      <c r="L2160" s="30">
        <v>43311</v>
      </c>
      <c r="M2160">
        <v>23255</v>
      </c>
    </row>
    <row r="2161" spans="2:13" x14ac:dyDescent="0.55000000000000004">
      <c r="B2161" s="30">
        <v>42514</v>
      </c>
      <c r="C2161">
        <v>1648</v>
      </c>
      <c r="L2161" s="30">
        <v>43308</v>
      </c>
      <c r="M2161">
        <v>23230</v>
      </c>
    </row>
    <row r="2162" spans="2:13" x14ac:dyDescent="0.55000000000000004">
      <c r="B2162" s="30">
        <v>42513</v>
      </c>
      <c r="C2162">
        <v>1643</v>
      </c>
      <c r="L2162" s="30">
        <v>43307</v>
      </c>
      <c r="M2162">
        <v>23175</v>
      </c>
    </row>
    <row r="2163" spans="2:13" x14ac:dyDescent="0.55000000000000004">
      <c r="B2163" s="30">
        <v>42510</v>
      </c>
      <c r="C2163">
        <v>1660</v>
      </c>
      <c r="L2163" s="30">
        <v>43306</v>
      </c>
      <c r="M2163">
        <v>23215</v>
      </c>
    </row>
    <row r="2164" spans="2:13" x14ac:dyDescent="0.55000000000000004">
      <c r="B2164" s="30">
        <v>42509</v>
      </c>
      <c r="C2164">
        <v>1638</v>
      </c>
      <c r="L2164" s="30">
        <v>43305</v>
      </c>
      <c r="M2164">
        <v>23248</v>
      </c>
    </row>
    <row r="2165" spans="2:13" x14ac:dyDescent="0.55000000000000004">
      <c r="B2165" s="30">
        <v>42508</v>
      </c>
      <c r="C2165">
        <v>1669</v>
      </c>
      <c r="L2165" s="30">
        <v>43304</v>
      </c>
      <c r="M2165">
        <v>23220</v>
      </c>
    </row>
    <row r="2166" spans="2:13" x14ac:dyDescent="0.55000000000000004">
      <c r="B2166" s="30">
        <v>42507</v>
      </c>
      <c r="C2166">
        <v>1699</v>
      </c>
      <c r="L2166" s="30">
        <v>43301</v>
      </c>
      <c r="M2166">
        <v>23053</v>
      </c>
    </row>
    <row r="2167" spans="2:13" x14ac:dyDescent="0.55000000000000004">
      <c r="B2167" s="30">
        <v>42506</v>
      </c>
      <c r="C2167">
        <v>1686</v>
      </c>
      <c r="L2167" s="30">
        <v>43300</v>
      </c>
      <c r="M2167">
        <v>23050</v>
      </c>
    </row>
    <row r="2168" spans="2:13" x14ac:dyDescent="0.55000000000000004">
      <c r="B2168" s="30">
        <v>42503</v>
      </c>
      <c r="C2168">
        <v>1680</v>
      </c>
      <c r="L2168" s="30">
        <v>43299</v>
      </c>
      <c r="M2168">
        <v>23049</v>
      </c>
    </row>
    <row r="2169" spans="2:13" x14ac:dyDescent="0.55000000000000004">
      <c r="B2169" s="30">
        <v>42502</v>
      </c>
      <c r="C2169">
        <v>1678</v>
      </c>
      <c r="L2169" s="30">
        <v>43298</v>
      </c>
      <c r="M2169">
        <v>23050</v>
      </c>
    </row>
    <row r="2170" spans="2:13" x14ac:dyDescent="0.55000000000000004">
      <c r="B2170" s="30">
        <v>42501</v>
      </c>
      <c r="C2170">
        <v>1671</v>
      </c>
      <c r="L2170" s="30">
        <v>43297</v>
      </c>
      <c r="M2170">
        <v>23050</v>
      </c>
    </row>
    <row r="2171" spans="2:13" x14ac:dyDescent="0.55000000000000004">
      <c r="B2171" s="30">
        <v>42500</v>
      </c>
      <c r="C2171">
        <v>1660</v>
      </c>
      <c r="L2171" s="30">
        <v>43294</v>
      </c>
      <c r="M2171">
        <v>23050</v>
      </c>
    </row>
    <row r="2172" spans="2:13" x14ac:dyDescent="0.55000000000000004">
      <c r="B2172" s="30">
        <v>42499</v>
      </c>
      <c r="C2172">
        <v>1635</v>
      </c>
      <c r="L2172" s="30">
        <v>43293</v>
      </c>
      <c r="M2172">
        <v>23047</v>
      </c>
    </row>
    <row r="2173" spans="2:13" x14ac:dyDescent="0.55000000000000004">
      <c r="B2173" s="30">
        <v>42496</v>
      </c>
      <c r="C2173">
        <v>1649</v>
      </c>
      <c r="L2173" s="30">
        <v>43292</v>
      </c>
      <c r="M2173">
        <v>23043</v>
      </c>
    </row>
    <row r="2174" spans="2:13" x14ac:dyDescent="0.55000000000000004">
      <c r="B2174" s="30">
        <v>42495</v>
      </c>
      <c r="C2174">
        <v>1617</v>
      </c>
      <c r="L2174" s="30">
        <v>43291</v>
      </c>
      <c r="M2174">
        <v>23039</v>
      </c>
    </row>
    <row r="2175" spans="2:13" x14ac:dyDescent="0.55000000000000004">
      <c r="B2175" s="30">
        <v>42494</v>
      </c>
      <c r="C2175">
        <v>1585</v>
      </c>
      <c r="L2175" s="30">
        <v>43290</v>
      </c>
      <c r="M2175">
        <v>23038</v>
      </c>
    </row>
    <row r="2176" spans="2:13" x14ac:dyDescent="0.55000000000000004">
      <c r="B2176" s="30">
        <v>42493</v>
      </c>
      <c r="C2176">
        <v>1579</v>
      </c>
      <c r="L2176" s="30">
        <v>43287</v>
      </c>
      <c r="M2176">
        <v>23035</v>
      </c>
    </row>
    <row r="2177" spans="2:13" x14ac:dyDescent="0.55000000000000004">
      <c r="B2177" s="30">
        <v>42492</v>
      </c>
      <c r="C2177">
        <v>1588</v>
      </c>
      <c r="L2177" s="30">
        <v>43286</v>
      </c>
      <c r="M2177">
        <v>23040</v>
      </c>
    </row>
    <row r="2178" spans="2:13" x14ac:dyDescent="0.55000000000000004">
      <c r="B2178" s="30">
        <v>42489</v>
      </c>
      <c r="C2178">
        <v>1588</v>
      </c>
      <c r="L2178" s="30">
        <v>43285</v>
      </c>
      <c r="M2178">
        <v>23038</v>
      </c>
    </row>
    <row r="2179" spans="2:13" x14ac:dyDescent="0.55000000000000004">
      <c r="B2179" s="30">
        <v>42488</v>
      </c>
      <c r="C2179">
        <v>1578</v>
      </c>
      <c r="L2179" s="30">
        <v>43284</v>
      </c>
      <c r="M2179">
        <v>23045</v>
      </c>
    </row>
    <row r="2180" spans="2:13" x14ac:dyDescent="0.55000000000000004">
      <c r="B2180" s="30">
        <v>42487</v>
      </c>
      <c r="C2180">
        <v>1573</v>
      </c>
      <c r="L2180" s="30">
        <v>43283</v>
      </c>
      <c r="M2180">
        <v>22952</v>
      </c>
    </row>
    <row r="2181" spans="2:13" x14ac:dyDescent="0.55000000000000004">
      <c r="B2181" s="30">
        <v>42486</v>
      </c>
      <c r="C2181">
        <v>1589</v>
      </c>
      <c r="L2181" s="30">
        <v>43280</v>
      </c>
      <c r="M2181">
        <v>22956</v>
      </c>
    </row>
    <row r="2182" spans="2:13" x14ac:dyDescent="0.55000000000000004">
      <c r="B2182" s="30">
        <v>42485</v>
      </c>
      <c r="C2182">
        <v>1571</v>
      </c>
      <c r="L2182" s="30">
        <v>43279</v>
      </c>
      <c r="M2182">
        <v>22935</v>
      </c>
    </row>
    <row r="2183" spans="2:13" x14ac:dyDescent="0.55000000000000004">
      <c r="B2183" s="30">
        <v>42482</v>
      </c>
      <c r="C2183">
        <v>1557</v>
      </c>
      <c r="L2183" s="30">
        <v>43278</v>
      </c>
      <c r="M2183">
        <v>22935</v>
      </c>
    </row>
    <row r="2184" spans="2:13" x14ac:dyDescent="0.55000000000000004">
      <c r="B2184" s="30">
        <v>42481</v>
      </c>
      <c r="C2184">
        <v>1567</v>
      </c>
      <c r="L2184" s="30">
        <v>43277</v>
      </c>
      <c r="M2184">
        <v>22920</v>
      </c>
    </row>
    <row r="2185" spans="2:13" x14ac:dyDescent="0.55000000000000004">
      <c r="B2185" s="30">
        <v>42480</v>
      </c>
      <c r="C2185">
        <v>1578</v>
      </c>
      <c r="L2185" s="30">
        <v>43276</v>
      </c>
      <c r="M2185">
        <v>22895</v>
      </c>
    </row>
    <row r="2186" spans="2:13" x14ac:dyDescent="0.55000000000000004">
      <c r="B2186" s="30">
        <v>42479</v>
      </c>
      <c r="C2186">
        <v>1565</v>
      </c>
      <c r="L2186" s="30">
        <v>43273</v>
      </c>
      <c r="M2186">
        <v>22891</v>
      </c>
    </row>
    <row r="2187" spans="2:13" x14ac:dyDescent="0.55000000000000004">
      <c r="B2187" s="30">
        <v>42478</v>
      </c>
      <c r="C2187">
        <v>1555</v>
      </c>
      <c r="L2187" s="30">
        <v>43272</v>
      </c>
      <c r="M2187">
        <v>22876</v>
      </c>
    </row>
    <row r="2188" spans="2:13" x14ac:dyDescent="0.55000000000000004">
      <c r="B2188" s="30">
        <v>42475</v>
      </c>
      <c r="C2188">
        <v>1552</v>
      </c>
      <c r="L2188" s="30">
        <v>43271</v>
      </c>
      <c r="M2188">
        <v>22866</v>
      </c>
    </row>
    <row r="2189" spans="2:13" x14ac:dyDescent="0.55000000000000004">
      <c r="B2189" s="30">
        <v>42474</v>
      </c>
      <c r="C2189">
        <v>1552</v>
      </c>
      <c r="L2189" s="30">
        <v>43270</v>
      </c>
      <c r="M2189">
        <v>22852</v>
      </c>
    </row>
    <row r="2190" spans="2:13" x14ac:dyDescent="0.55000000000000004">
      <c r="B2190" s="30">
        <v>42473</v>
      </c>
      <c r="C2190">
        <v>1546</v>
      </c>
      <c r="L2190" s="30">
        <v>43269</v>
      </c>
      <c r="M2190">
        <v>22835</v>
      </c>
    </row>
    <row r="2191" spans="2:13" x14ac:dyDescent="0.55000000000000004">
      <c r="B2191" s="30">
        <v>42472</v>
      </c>
      <c r="C2191">
        <v>1585</v>
      </c>
      <c r="L2191" s="30">
        <v>43266</v>
      </c>
      <c r="M2191">
        <v>22815</v>
      </c>
    </row>
    <row r="2192" spans="2:13" x14ac:dyDescent="0.55000000000000004">
      <c r="B2192" s="30">
        <v>42471</v>
      </c>
      <c r="C2192">
        <v>1575</v>
      </c>
      <c r="L2192" s="30">
        <v>43265</v>
      </c>
      <c r="M2192">
        <v>22812</v>
      </c>
    </row>
    <row r="2193" spans="2:13" x14ac:dyDescent="0.55000000000000004">
      <c r="B2193" s="30">
        <v>42468</v>
      </c>
      <c r="C2193">
        <v>1543</v>
      </c>
      <c r="L2193" s="30">
        <v>43264</v>
      </c>
      <c r="M2193">
        <v>22810</v>
      </c>
    </row>
    <row r="2194" spans="2:13" x14ac:dyDescent="0.55000000000000004">
      <c r="B2194" s="30">
        <v>42467</v>
      </c>
      <c r="C2194">
        <v>1528</v>
      </c>
      <c r="L2194" s="30">
        <v>43263</v>
      </c>
      <c r="M2194">
        <v>22812</v>
      </c>
    </row>
    <row r="2195" spans="2:13" x14ac:dyDescent="0.55000000000000004">
      <c r="B2195" s="30">
        <v>42466</v>
      </c>
      <c r="C2195">
        <v>1502</v>
      </c>
      <c r="L2195" s="30">
        <v>43262</v>
      </c>
      <c r="M2195">
        <v>22814</v>
      </c>
    </row>
    <row r="2196" spans="2:13" x14ac:dyDescent="0.55000000000000004">
      <c r="B2196" s="30">
        <v>42465</v>
      </c>
      <c r="C2196">
        <v>1490</v>
      </c>
      <c r="L2196" s="30">
        <v>43259</v>
      </c>
      <c r="M2196">
        <v>22790</v>
      </c>
    </row>
    <row r="2197" spans="2:13" x14ac:dyDescent="0.55000000000000004">
      <c r="B2197" s="30">
        <v>42464</v>
      </c>
      <c r="C2197">
        <v>1506</v>
      </c>
      <c r="L2197" s="30">
        <v>43258</v>
      </c>
      <c r="M2197">
        <v>22801</v>
      </c>
    </row>
    <row r="2198" spans="2:13" x14ac:dyDescent="0.55000000000000004">
      <c r="B2198" s="30">
        <v>42461</v>
      </c>
      <c r="C2198">
        <v>1519</v>
      </c>
      <c r="L2198" s="30">
        <v>43257</v>
      </c>
      <c r="M2198">
        <v>22805</v>
      </c>
    </row>
    <row r="2199" spans="2:13" x14ac:dyDescent="0.55000000000000004">
      <c r="B2199" s="30">
        <v>42460</v>
      </c>
      <c r="C2199">
        <v>1501</v>
      </c>
      <c r="L2199" s="30">
        <v>43256</v>
      </c>
      <c r="M2199">
        <v>22829</v>
      </c>
    </row>
    <row r="2200" spans="2:13" x14ac:dyDescent="0.55000000000000004">
      <c r="B2200" s="30">
        <v>42459</v>
      </c>
      <c r="C2200">
        <v>1504</v>
      </c>
      <c r="L2200" s="30">
        <v>43255</v>
      </c>
      <c r="M2200">
        <v>22826</v>
      </c>
    </row>
    <row r="2201" spans="2:13" x14ac:dyDescent="0.55000000000000004">
      <c r="B2201" s="30">
        <v>42458</v>
      </c>
      <c r="C2201">
        <v>1496</v>
      </c>
      <c r="L2201" s="30">
        <v>43252</v>
      </c>
      <c r="M2201">
        <v>22796</v>
      </c>
    </row>
    <row r="2202" spans="2:13" x14ac:dyDescent="0.55000000000000004">
      <c r="B2202" s="30">
        <v>42453</v>
      </c>
      <c r="C2202">
        <v>1491</v>
      </c>
      <c r="L2202" s="30">
        <v>43251</v>
      </c>
      <c r="M2202">
        <v>22804</v>
      </c>
    </row>
    <row r="2203" spans="2:13" x14ac:dyDescent="0.55000000000000004">
      <c r="B2203" s="30">
        <v>42452</v>
      </c>
      <c r="C2203">
        <v>1515</v>
      </c>
      <c r="L2203" s="30">
        <v>43250</v>
      </c>
      <c r="M2203">
        <v>22850</v>
      </c>
    </row>
    <row r="2204" spans="2:13" x14ac:dyDescent="0.55000000000000004">
      <c r="B2204" s="30">
        <v>42451</v>
      </c>
      <c r="C2204">
        <v>1514</v>
      </c>
      <c r="L2204" s="30">
        <v>43249</v>
      </c>
      <c r="M2204">
        <v>22830</v>
      </c>
    </row>
    <row r="2205" spans="2:13" x14ac:dyDescent="0.55000000000000004">
      <c r="B2205" s="30">
        <v>42450</v>
      </c>
      <c r="C2205">
        <v>1473</v>
      </c>
      <c r="L2205" s="30">
        <v>43248</v>
      </c>
      <c r="M2205">
        <v>22814</v>
      </c>
    </row>
    <row r="2206" spans="2:13" x14ac:dyDescent="0.55000000000000004">
      <c r="B2206" s="30">
        <v>42447</v>
      </c>
      <c r="C2206">
        <v>1482</v>
      </c>
      <c r="L2206" s="30">
        <v>43245</v>
      </c>
      <c r="M2206">
        <v>22769</v>
      </c>
    </row>
    <row r="2207" spans="2:13" x14ac:dyDescent="0.55000000000000004">
      <c r="B2207" s="30">
        <v>42446</v>
      </c>
      <c r="C2207">
        <v>1459</v>
      </c>
      <c r="L2207" s="30">
        <v>43244</v>
      </c>
      <c r="M2207">
        <v>22777</v>
      </c>
    </row>
    <row r="2208" spans="2:13" x14ac:dyDescent="0.55000000000000004">
      <c r="B2208" s="30">
        <v>42445</v>
      </c>
      <c r="C2208">
        <v>1426</v>
      </c>
      <c r="L2208" s="30">
        <v>43243</v>
      </c>
      <c r="M2208">
        <v>22773</v>
      </c>
    </row>
    <row r="2209" spans="2:13" x14ac:dyDescent="0.55000000000000004">
      <c r="B2209" s="30">
        <v>42444</v>
      </c>
      <c r="C2209">
        <v>1423</v>
      </c>
      <c r="L2209" s="30">
        <v>43242</v>
      </c>
      <c r="M2209">
        <v>22769</v>
      </c>
    </row>
    <row r="2210" spans="2:13" x14ac:dyDescent="0.55000000000000004">
      <c r="B2210" s="30">
        <v>42443</v>
      </c>
      <c r="C2210">
        <v>1438</v>
      </c>
      <c r="L2210" s="30">
        <v>43241</v>
      </c>
      <c r="M2210">
        <v>22770</v>
      </c>
    </row>
    <row r="2211" spans="2:13" x14ac:dyDescent="0.55000000000000004">
      <c r="B2211" s="30">
        <v>42440</v>
      </c>
      <c r="C2211">
        <v>1427</v>
      </c>
      <c r="L2211" s="30">
        <v>43238</v>
      </c>
      <c r="M2211">
        <v>22785</v>
      </c>
    </row>
    <row r="2212" spans="2:13" x14ac:dyDescent="0.55000000000000004">
      <c r="B2212" s="30">
        <v>42439</v>
      </c>
      <c r="C2212">
        <v>1402</v>
      </c>
      <c r="L2212" s="30">
        <v>43237</v>
      </c>
      <c r="M2212">
        <v>22773</v>
      </c>
    </row>
    <row r="2213" spans="2:13" x14ac:dyDescent="0.55000000000000004">
      <c r="B2213" s="30">
        <v>42438</v>
      </c>
      <c r="C2213">
        <v>1420</v>
      </c>
      <c r="L2213" s="30">
        <v>43236</v>
      </c>
      <c r="M2213">
        <v>22770</v>
      </c>
    </row>
    <row r="2214" spans="2:13" x14ac:dyDescent="0.55000000000000004">
      <c r="B2214" s="30">
        <v>42437</v>
      </c>
      <c r="C2214">
        <v>1408</v>
      </c>
      <c r="L2214" s="30">
        <v>43235</v>
      </c>
      <c r="M2214">
        <v>22768</v>
      </c>
    </row>
    <row r="2215" spans="2:13" x14ac:dyDescent="0.55000000000000004">
      <c r="B2215" s="30">
        <v>42436</v>
      </c>
      <c r="C2215">
        <v>1394</v>
      </c>
      <c r="L2215" s="30">
        <v>43234</v>
      </c>
      <c r="M2215">
        <v>22765</v>
      </c>
    </row>
    <row r="2216" spans="2:13" x14ac:dyDescent="0.55000000000000004">
      <c r="B2216" s="30">
        <v>42433</v>
      </c>
      <c r="C2216">
        <v>1393</v>
      </c>
      <c r="L2216" s="30">
        <v>43231</v>
      </c>
      <c r="M2216">
        <v>22769</v>
      </c>
    </row>
    <row r="2217" spans="2:13" x14ac:dyDescent="0.55000000000000004">
      <c r="B2217" s="30">
        <v>42432</v>
      </c>
      <c r="C2217">
        <v>1394</v>
      </c>
      <c r="L2217" s="30">
        <v>43230</v>
      </c>
      <c r="M2217">
        <v>22769</v>
      </c>
    </row>
    <row r="2218" spans="2:13" x14ac:dyDescent="0.55000000000000004">
      <c r="B2218" s="30">
        <v>42431</v>
      </c>
      <c r="C2218">
        <v>1391</v>
      </c>
      <c r="L2218" s="30">
        <v>43229</v>
      </c>
      <c r="M2218">
        <v>22774</v>
      </c>
    </row>
    <row r="2219" spans="2:13" x14ac:dyDescent="0.55000000000000004">
      <c r="B2219" s="30">
        <v>42430</v>
      </c>
      <c r="C2219">
        <v>1377</v>
      </c>
      <c r="L2219" s="30">
        <v>43228</v>
      </c>
      <c r="M2219">
        <v>22772</v>
      </c>
    </row>
    <row r="2220" spans="2:13" x14ac:dyDescent="0.55000000000000004">
      <c r="B2220" s="30">
        <v>42429</v>
      </c>
      <c r="C2220">
        <v>1413</v>
      </c>
      <c r="L2220" s="30">
        <v>43227</v>
      </c>
      <c r="M2220">
        <v>22767</v>
      </c>
    </row>
    <row r="2221" spans="2:13" x14ac:dyDescent="0.55000000000000004">
      <c r="B2221" s="30">
        <v>42426</v>
      </c>
      <c r="C2221">
        <v>1366</v>
      </c>
      <c r="L2221" s="30">
        <v>43224</v>
      </c>
      <c r="M2221">
        <v>22767</v>
      </c>
    </row>
    <row r="2222" spans="2:13" x14ac:dyDescent="0.55000000000000004">
      <c r="B2222" s="30">
        <v>42425</v>
      </c>
      <c r="C2222">
        <v>1368</v>
      </c>
      <c r="L2222" s="30">
        <v>43223</v>
      </c>
      <c r="M2222">
        <v>22762</v>
      </c>
    </row>
    <row r="2223" spans="2:13" x14ac:dyDescent="0.55000000000000004">
      <c r="B2223" s="30">
        <v>42424</v>
      </c>
      <c r="C2223">
        <v>1371</v>
      </c>
      <c r="L2223" s="30">
        <v>43222</v>
      </c>
      <c r="M2223">
        <v>22760</v>
      </c>
    </row>
    <row r="2224" spans="2:13" x14ac:dyDescent="0.55000000000000004">
      <c r="B2224" s="30">
        <v>42423</v>
      </c>
      <c r="C2224">
        <v>1397</v>
      </c>
      <c r="L2224" s="30">
        <v>43221</v>
      </c>
      <c r="M2224">
        <v>22763</v>
      </c>
    </row>
    <row r="2225" spans="2:13" x14ac:dyDescent="0.55000000000000004">
      <c r="B2225" s="30">
        <v>42422</v>
      </c>
      <c r="C2225">
        <v>1418</v>
      </c>
      <c r="L2225" s="30">
        <v>43220</v>
      </c>
      <c r="M2225">
        <v>22763</v>
      </c>
    </row>
    <row r="2226" spans="2:13" x14ac:dyDescent="0.55000000000000004">
      <c r="B2226" s="30">
        <v>42419</v>
      </c>
      <c r="C2226">
        <v>1417</v>
      </c>
      <c r="L2226" s="30">
        <v>43217</v>
      </c>
      <c r="M2226">
        <v>22763</v>
      </c>
    </row>
    <row r="2227" spans="2:13" x14ac:dyDescent="0.55000000000000004">
      <c r="B2227" s="30">
        <v>42418</v>
      </c>
      <c r="C2227">
        <v>1428</v>
      </c>
      <c r="L2227" s="30">
        <v>43216</v>
      </c>
      <c r="M2227">
        <v>22765</v>
      </c>
    </row>
    <row r="2228" spans="2:13" x14ac:dyDescent="0.55000000000000004">
      <c r="B2228" s="30">
        <v>42417</v>
      </c>
      <c r="C2228">
        <v>1442</v>
      </c>
      <c r="L2228" s="30">
        <v>43215</v>
      </c>
      <c r="M2228">
        <v>22768</v>
      </c>
    </row>
    <row r="2229" spans="2:13" x14ac:dyDescent="0.55000000000000004">
      <c r="B2229" s="30">
        <v>42416</v>
      </c>
      <c r="C2229">
        <v>1442</v>
      </c>
      <c r="L2229" s="30">
        <v>43214</v>
      </c>
      <c r="M2229">
        <v>22768</v>
      </c>
    </row>
    <row r="2230" spans="2:13" x14ac:dyDescent="0.55000000000000004">
      <c r="B2230" s="30">
        <v>42415</v>
      </c>
      <c r="C2230">
        <v>1433</v>
      </c>
      <c r="L2230" s="30">
        <v>43213</v>
      </c>
      <c r="M2230">
        <v>22769</v>
      </c>
    </row>
    <row r="2231" spans="2:13" x14ac:dyDescent="0.55000000000000004">
      <c r="B2231" s="30">
        <v>42412</v>
      </c>
      <c r="C2231">
        <v>1441</v>
      </c>
      <c r="L2231" s="30">
        <v>43210</v>
      </c>
      <c r="M2231">
        <v>22771</v>
      </c>
    </row>
    <row r="2232" spans="2:13" x14ac:dyDescent="0.55000000000000004">
      <c r="B2232" s="30">
        <v>42411</v>
      </c>
      <c r="C2232">
        <v>1408</v>
      </c>
      <c r="L2232" s="30">
        <v>43209</v>
      </c>
      <c r="M2232">
        <v>22778</v>
      </c>
    </row>
    <row r="2233" spans="2:13" x14ac:dyDescent="0.55000000000000004">
      <c r="B2233" s="30">
        <v>42410</v>
      </c>
      <c r="C2233">
        <v>1420</v>
      </c>
      <c r="L2233" s="30">
        <v>43208</v>
      </c>
      <c r="M2233">
        <v>22773</v>
      </c>
    </row>
    <row r="2234" spans="2:13" x14ac:dyDescent="0.55000000000000004">
      <c r="B2234" s="30">
        <v>42409</v>
      </c>
      <c r="C2234">
        <v>1416</v>
      </c>
      <c r="L2234" s="30">
        <v>43207</v>
      </c>
      <c r="M2234">
        <v>22770</v>
      </c>
    </row>
    <row r="2235" spans="2:13" x14ac:dyDescent="0.55000000000000004">
      <c r="B2235" s="30">
        <v>42408</v>
      </c>
      <c r="C2235">
        <v>1416</v>
      </c>
      <c r="L2235" s="30">
        <v>43206</v>
      </c>
      <c r="M2235">
        <v>22775</v>
      </c>
    </row>
    <row r="2236" spans="2:13" x14ac:dyDescent="0.55000000000000004">
      <c r="B2236" s="30">
        <v>42405</v>
      </c>
      <c r="C2236">
        <v>1454</v>
      </c>
      <c r="L2236" s="30">
        <v>43203</v>
      </c>
      <c r="M2236">
        <v>22784</v>
      </c>
    </row>
    <row r="2237" spans="2:13" x14ac:dyDescent="0.55000000000000004">
      <c r="B2237" s="30">
        <v>42404</v>
      </c>
      <c r="C2237">
        <v>1462</v>
      </c>
      <c r="L2237" s="30">
        <v>43202</v>
      </c>
      <c r="M2237">
        <v>22786</v>
      </c>
    </row>
    <row r="2238" spans="2:13" x14ac:dyDescent="0.55000000000000004">
      <c r="B2238" s="30">
        <v>42403</v>
      </c>
      <c r="C2238">
        <v>1431</v>
      </c>
      <c r="L2238" s="30">
        <v>43201</v>
      </c>
      <c r="M2238">
        <v>22788</v>
      </c>
    </row>
    <row r="2239" spans="2:13" x14ac:dyDescent="0.55000000000000004">
      <c r="B2239" s="30">
        <v>42402</v>
      </c>
      <c r="C2239">
        <v>1427</v>
      </c>
      <c r="L2239" s="30">
        <v>43200</v>
      </c>
      <c r="M2239">
        <v>22790</v>
      </c>
    </row>
    <row r="2240" spans="2:13" x14ac:dyDescent="0.55000000000000004">
      <c r="B2240" s="30">
        <v>42401</v>
      </c>
      <c r="C2240">
        <v>1408</v>
      </c>
      <c r="L2240" s="30">
        <v>43199</v>
      </c>
      <c r="M2240">
        <v>22790</v>
      </c>
    </row>
    <row r="2241" spans="2:13" x14ac:dyDescent="0.55000000000000004">
      <c r="B2241" s="30">
        <v>42398</v>
      </c>
      <c r="C2241">
        <v>1382</v>
      </c>
      <c r="L2241" s="30">
        <v>43196</v>
      </c>
      <c r="M2241">
        <v>22800</v>
      </c>
    </row>
    <row r="2242" spans="2:13" x14ac:dyDescent="0.55000000000000004">
      <c r="B2242" s="30">
        <v>42397</v>
      </c>
      <c r="C2242">
        <v>1402</v>
      </c>
      <c r="L2242" s="30">
        <v>43195</v>
      </c>
      <c r="M2242">
        <v>22813</v>
      </c>
    </row>
    <row r="2243" spans="2:13" x14ac:dyDescent="0.55000000000000004">
      <c r="B2243" s="30">
        <v>42396</v>
      </c>
      <c r="C2243">
        <v>1416</v>
      </c>
      <c r="L2243" s="30">
        <v>43194</v>
      </c>
      <c r="M2243">
        <v>22815</v>
      </c>
    </row>
    <row r="2244" spans="2:13" x14ac:dyDescent="0.55000000000000004">
      <c r="B2244" s="30">
        <v>42395</v>
      </c>
      <c r="C2244">
        <v>1390</v>
      </c>
      <c r="L2244" s="30">
        <v>43193</v>
      </c>
      <c r="M2244">
        <v>22809</v>
      </c>
    </row>
    <row r="2245" spans="2:13" x14ac:dyDescent="0.55000000000000004">
      <c r="B2245" s="30">
        <v>42394</v>
      </c>
      <c r="C2245">
        <v>1389</v>
      </c>
      <c r="L2245" s="30">
        <v>43192</v>
      </c>
      <c r="M2245">
        <v>22792</v>
      </c>
    </row>
    <row r="2246" spans="2:13" x14ac:dyDescent="0.55000000000000004">
      <c r="B2246" s="30">
        <v>42391</v>
      </c>
      <c r="C2246">
        <v>1395</v>
      </c>
      <c r="L2246" s="30">
        <v>43189</v>
      </c>
      <c r="M2246">
        <v>22793</v>
      </c>
    </row>
    <row r="2247" spans="2:13" x14ac:dyDescent="0.55000000000000004">
      <c r="B2247" s="30">
        <v>42390</v>
      </c>
      <c r="C2247">
        <v>1370</v>
      </c>
      <c r="L2247" s="30">
        <v>43188</v>
      </c>
      <c r="M2247">
        <v>22809</v>
      </c>
    </row>
    <row r="2248" spans="2:13" x14ac:dyDescent="0.55000000000000004">
      <c r="B2248" s="30">
        <v>42389</v>
      </c>
      <c r="C2248">
        <v>1366</v>
      </c>
      <c r="L2248" s="30">
        <v>43187</v>
      </c>
      <c r="M2248">
        <v>22818</v>
      </c>
    </row>
    <row r="2249" spans="2:13" x14ac:dyDescent="0.55000000000000004">
      <c r="B2249" s="30">
        <v>42388</v>
      </c>
      <c r="C2249">
        <v>1412</v>
      </c>
      <c r="L2249" s="30">
        <v>43186</v>
      </c>
      <c r="M2249">
        <v>22815</v>
      </c>
    </row>
    <row r="2250" spans="2:13" x14ac:dyDescent="0.55000000000000004">
      <c r="B2250" s="30">
        <v>42387</v>
      </c>
      <c r="C2250">
        <v>1420</v>
      </c>
      <c r="L2250" s="30">
        <v>43185</v>
      </c>
      <c r="M2250">
        <v>22810</v>
      </c>
    </row>
    <row r="2251" spans="2:13" x14ac:dyDescent="0.55000000000000004">
      <c r="B2251" s="30">
        <v>42384</v>
      </c>
      <c r="C2251">
        <v>1441</v>
      </c>
      <c r="L2251" s="30">
        <v>43182</v>
      </c>
      <c r="M2251">
        <v>22802</v>
      </c>
    </row>
    <row r="2252" spans="2:13" x14ac:dyDescent="0.55000000000000004">
      <c r="B2252" s="30">
        <v>42383</v>
      </c>
      <c r="C2252">
        <v>1438</v>
      </c>
      <c r="L2252" s="30">
        <v>43181</v>
      </c>
      <c r="M2252">
        <v>22794</v>
      </c>
    </row>
    <row r="2253" spans="2:13" x14ac:dyDescent="0.55000000000000004">
      <c r="B2253" s="30">
        <v>42382</v>
      </c>
      <c r="C2253">
        <v>1457</v>
      </c>
      <c r="L2253" s="30">
        <v>43180</v>
      </c>
      <c r="M2253">
        <v>22773.5</v>
      </c>
    </row>
    <row r="2254" spans="2:13" x14ac:dyDescent="0.55000000000000004">
      <c r="B2254" s="30">
        <v>42381</v>
      </c>
      <c r="C2254">
        <v>1448</v>
      </c>
      <c r="L2254" s="30">
        <v>43179</v>
      </c>
      <c r="M2254">
        <v>22774</v>
      </c>
    </row>
    <row r="2255" spans="2:13" x14ac:dyDescent="0.55000000000000004">
      <c r="B2255" s="30">
        <v>42380</v>
      </c>
      <c r="C2255">
        <v>1444</v>
      </c>
      <c r="L2255" s="30">
        <v>43178</v>
      </c>
      <c r="M2255">
        <v>22765</v>
      </c>
    </row>
    <row r="2256" spans="2:13" x14ac:dyDescent="0.55000000000000004">
      <c r="B2256" s="30">
        <v>42377</v>
      </c>
      <c r="C2256">
        <v>1485</v>
      </c>
      <c r="L2256" s="30">
        <v>43175</v>
      </c>
      <c r="M2256">
        <v>22764</v>
      </c>
    </row>
    <row r="2257" spans="2:13" x14ac:dyDescent="0.55000000000000004">
      <c r="B2257" s="30">
        <v>42376</v>
      </c>
      <c r="C2257">
        <v>1479</v>
      </c>
      <c r="L2257" s="30">
        <v>43174</v>
      </c>
      <c r="M2257">
        <v>22767</v>
      </c>
    </row>
    <row r="2258" spans="2:13" x14ac:dyDescent="0.55000000000000004">
      <c r="B2258" s="30">
        <v>42375</v>
      </c>
      <c r="C2258">
        <v>1492</v>
      </c>
      <c r="L2258" s="30">
        <v>43173</v>
      </c>
      <c r="M2258">
        <v>22765</v>
      </c>
    </row>
    <row r="2259" spans="2:13" x14ac:dyDescent="0.55000000000000004">
      <c r="B2259" s="30">
        <v>42374</v>
      </c>
      <c r="C2259">
        <v>1507</v>
      </c>
      <c r="L2259" s="30">
        <v>43172</v>
      </c>
      <c r="M2259">
        <v>22762</v>
      </c>
    </row>
    <row r="2260" spans="2:13" x14ac:dyDescent="0.55000000000000004">
      <c r="B2260" s="30">
        <v>42373</v>
      </c>
      <c r="C2260">
        <v>1528</v>
      </c>
      <c r="L2260" s="30">
        <v>43171</v>
      </c>
      <c r="M2260">
        <v>22758</v>
      </c>
    </row>
    <row r="2261" spans="2:13" x14ac:dyDescent="0.55000000000000004">
      <c r="B2261" s="30">
        <v>42369</v>
      </c>
      <c r="C2261">
        <v>1530</v>
      </c>
      <c r="L2261" s="30">
        <v>43168</v>
      </c>
      <c r="M2261">
        <v>22760</v>
      </c>
    </row>
    <row r="2262" spans="2:13" x14ac:dyDescent="0.55000000000000004">
      <c r="B2262" s="30">
        <v>42368</v>
      </c>
      <c r="C2262">
        <v>1515</v>
      </c>
      <c r="L2262" s="30">
        <v>43167</v>
      </c>
      <c r="M2262">
        <v>22756</v>
      </c>
    </row>
    <row r="2263" spans="2:13" x14ac:dyDescent="0.55000000000000004">
      <c r="B2263" s="30">
        <v>42367</v>
      </c>
      <c r="C2263">
        <v>1517</v>
      </c>
      <c r="L2263" s="30">
        <v>43166</v>
      </c>
      <c r="M2263">
        <v>22759</v>
      </c>
    </row>
    <row r="2264" spans="2:13" x14ac:dyDescent="0.55000000000000004">
      <c r="B2264" s="30">
        <v>42366</v>
      </c>
      <c r="C2264">
        <v>1525</v>
      </c>
      <c r="L2264" s="30">
        <v>43165</v>
      </c>
      <c r="M2264">
        <v>22769</v>
      </c>
    </row>
    <row r="2265" spans="2:13" x14ac:dyDescent="0.55000000000000004">
      <c r="B2265" s="30">
        <v>42362</v>
      </c>
      <c r="C2265">
        <v>1525</v>
      </c>
      <c r="L2265" s="30">
        <v>43164</v>
      </c>
      <c r="M2265">
        <v>22765</v>
      </c>
    </row>
    <row r="2266" spans="2:13" x14ac:dyDescent="0.55000000000000004">
      <c r="B2266" s="30">
        <v>42361</v>
      </c>
      <c r="C2266">
        <v>1534</v>
      </c>
      <c r="L2266" s="30">
        <v>43161</v>
      </c>
      <c r="M2266">
        <v>22760</v>
      </c>
    </row>
    <row r="2267" spans="2:13" x14ac:dyDescent="0.55000000000000004">
      <c r="B2267" s="30">
        <v>42360</v>
      </c>
      <c r="C2267">
        <v>1527</v>
      </c>
      <c r="L2267" s="30">
        <v>43160</v>
      </c>
      <c r="M2267">
        <v>22750</v>
      </c>
    </row>
    <row r="2268" spans="2:13" x14ac:dyDescent="0.55000000000000004">
      <c r="B2268" s="30">
        <v>42359</v>
      </c>
      <c r="C2268">
        <v>1508</v>
      </c>
      <c r="L2268" s="30">
        <v>43159</v>
      </c>
      <c r="M2268">
        <v>22756</v>
      </c>
    </row>
    <row r="2269" spans="2:13" x14ac:dyDescent="0.55000000000000004">
      <c r="B2269" s="30">
        <v>42356</v>
      </c>
      <c r="C2269">
        <v>1513</v>
      </c>
      <c r="L2269" s="30">
        <v>43158</v>
      </c>
      <c r="M2269">
        <v>22750</v>
      </c>
    </row>
    <row r="2270" spans="2:13" x14ac:dyDescent="0.55000000000000004">
      <c r="B2270" s="30">
        <v>42355</v>
      </c>
      <c r="C2270">
        <v>1508</v>
      </c>
      <c r="L2270" s="30">
        <v>43157</v>
      </c>
      <c r="M2270">
        <v>22732</v>
      </c>
    </row>
    <row r="2271" spans="2:13" x14ac:dyDescent="0.55000000000000004">
      <c r="B2271" s="30">
        <v>42354</v>
      </c>
      <c r="C2271">
        <v>1515</v>
      </c>
      <c r="L2271" s="30">
        <v>43154</v>
      </c>
      <c r="M2271">
        <v>22740</v>
      </c>
    </row>
    <row r="2272" spans="2:13" x14ac:dyDescent="0.55000000000000004">
      <c r="B2272" s="30">
        <v>42353</v>
      </c>
      <c r="C2272">
        <v>1507</v>
      </c>
      <c r="L2272" s="30">
        <v>43153</v>
      </c>
      <c r="M2272">
        <v>22710</v>
      </c>
    </row>
    <row r="2273" spans="2:13" x14ac:dyDescent="0.55000000000000004">
      <c r="B2273" s="30">
        <v>42352</v>
      </c>
      <c r="C2273">
        <v>1505</v>
      </c>
      <c r="L2273" s="30">
        <v>43152</v>
      </c>
      <c r="M2273">
        <v>22715</v>
      </c>
    </row>
    <row r="2274" spans="2:13" x14ac:dyDescent="0.55000000000000004">
      <c r="B2274" s="30">
        <v>42349</v>
      </c>
      <c r="C2274">
        <v>1528</v>
      </c>
      <c r="L2274" s="30">
        <v>43151</v>
      </c>
      <c r="M2274">
        <v>22685</v>
      </c>
    </row>
    <row r="2275" spans="2:13" x14ac:dyDescent="0.55000000000000004">
      <c r="B2275" s="30">
        <v>42348</v>
      </c>
      <c r="C2275">
        <v>1550</v>
      </c>
      <c r="L2275" s="30">
        <v>43150</v>
      </c>
      <c r="M2275">
        <v>22695</v>
      </c>
    </row>
    <row r="2276" spans="2:13" x14ac:dyDescent="0.55000000000000004">
      <c r="B2276" s="30">
        <v>42347</v>
      </c>
      <c r="C2276">
        <v>1555</v>
      </c>
      <c r="L2276" s="30">
        <v>43147</v>
      </c>
      <c r="M2276">
        <v>22695</v>
      </c>
    </row>
    <row r="2277" spans="2:13" x14ac:dyDescent="0.55000000000000004">
      <c r="B2277" s="30">
        <v>42346</v>
      </c>
      <c r="C2277">
        <v>1557</v>
      </c>
      <c r="L2277" s="30">
        <v>43146</v>
      </c>
      <c r="M2277">
        <v>22695</v>
      </c>
    </row>
    <row r="2278" spans="2:13" x14ac:dyDescent="0.55000000000000004">
      <c r="B2278" s="30">
        <v>42345</v>
      </c>
      <c r="C2278">
        <v>1562</v>
      </c>
      <c r="L2278" s="30">
        <v>43145</v>
      </c>
      <c r="M2278">
        <v>22695</v>
      </c>
    </row>
    <row r="2279" spans="2:13" x14ac:dyDescent="0.55000000000000004">
      <c r="B2279" s="30">
        <v>42342</v>
      </c>
      <c r="C2279">
        <v>1564</v>
      </c>
      <c r="L2279" s="30">
        <v>43144</v>
      </c>
      <c r="M2279">
        <v>22700</v>
      </c>
    </row>
    <row r="2280" spans="2:13" x14ac:dyDescent="0.55000000000000004">
      <c r="B2280" s="30">
        <v>42341</v>
      </c>
      <c r="C2280">
        <v>1563</v>
      </c>
      <c r="L2280" s="30">
        <v>43143</v>
      </c>
      <c r="M2280">
        <v>22702</v>
      </c>
    </row>
    <row r="2281" spans="2:13" x14ac:dyDescent="0.55000000000000004">
      <c r="B2281" s="30">
        <v>42340</v>
      </c>
      <c r="C2281">
        <v>1526</v>
      </c>
      <c r="L2281" s="30">
        <v>43140</v>
      </c>
      <c r="M2281">
        <v>22690</v>
      </c>
    </row>
    <row r="2282" spans="2:13" x14ac:dyDescent="0.55000000000000004">
      <c r="B2282" s="30">
        <v>42339</v>
      </c>
      <c r="C2282">
        <v>1521</v>
      </c>
      <c r="L2282" s="30">
        <v>43139</v>
      </c>
      <c r="M2282">
        <v>22698</v>
      </c>
    </row>
    <row r="2283" spans="2:13" x14ac:dyDescent="0.55000000000000004">
      <c r="B2283" s="30">
        <v>42338</v>
      </c>
      <c r="C2283">
        <v>1478</v>
      </c>
      <c r="L2283" s="30">
        <v>43138</v>
      </c>
      <c r="M2283">
        <v>22691</v>
      </c>
    </row>
    <row r="2284" spans="2:13" x14ac:dyDescent="0.55000000000000004">
      <c r="B2284" s="30">
        <v>42335</v>
      </c>
      <c r="C2284">
        <v>1514</v>
      </c>
      <c r="L2284" s="30">
        <v>43137</v>
      </c>
      <c r="M2284">
        <v>22700</v>
      </c>
    </row>
    <row r="2285" spans="2:13" x14ac:dyDescent="0.55000000000000004">
      <c r="B2285" s="30">
        <v>42334</v>
      </c>
      <c r="C2285">
        <v>1518</v>
      </c>
      <c r="L2285" s="30">
        <v>43136</v>
      </c>
      <c r="M2285">
        <v>22695</v>
      </c>
    </row>
    <row r="2286" spans="2:13" x14ac:dyDescent="0.55000000000000004">
      <c r="B2286" s="30">
        <v>42333</v>
      </c>
      <c r="C2286">
        <v>1532</v>
      </c>
      <c r="L2286" s="30">
        <v>43133</v>
      </c>
      <c r="M2286">
        <v>22709</v>
      </c>
    </row>
    <row r="2287" spans="2:13" x14ac:dyDescent="0.55000000000000004">
      <c r="B2287" s="30">
        <v>42332</v>
      </c>
      <c r="C2287">
        <v>1550</v>
      </c>
      <c r="L2287" s="30">
        <v>43132</v>
      </c>
      <c r="M2287">
        <v>22709</v>
      </c>
    </row>
    <row r="2288" spans="2:13" x14ac:dyDescent="0.55000000000000004">
      <c r="B2288" s="30">
        <v>42331</v>
      </c>
      <c r="C2288">
        <v>1539</v>
      </c>
      <c r="L2288" s="30">
        <v>43131</v>
      </c>
      <c r="M2288">
        <v>22700</v>
      </c>
    </row>
    <row r="2289" spans="2:13" x14ac:dyDescent="0.55000000000000004">
      <c r="B2289" s="30">
        <v>42328</v>
      </c>
      <c r="C2289">
        <v>1572</v>
      </c>
      <c r="L2289" s="30">
        <v>43130</v>
      </c>
      <c r="M2289">
        <v>22700</v>
      </c>
    </row>
    <row r="2290" spans="2:13" x14ac:dyDescent="0.55000000000000004">
      <c r="B2290" s="30">
        <v>42327</v>
      </c>
      <c r="C2290">
        <v>1563</v>
      </c>
      <c r="L2290" s="30">
        <v>43129</v>
      </c>
      <c r="M2290">
        <v>22701</v>
      </c>
    </row>
    <row r="2291" spans="2:13" x14ac:dyDescent="0.55000000000000004">
      <c r="B2291" s="30">
        <v>42326</v>
      </c>
      <c r="C2291">
        <v>1507</v>
      </c>
      <c r="L2291" s="30">
        <v>43126</v>
      </c>
      <c r="M2291">
        <v>22710</v>
      </c>
    </row>
    <row r="2292" spans="2:13" x14ac:dyDescent="0.55000000000000004">
      <c r="B2292" s="30">
        <v>42325</v>
      </c>
      <c r="C2292">
        <v>1554</v>
      </c>
      <c r="L2292" s="30">
        <v>43125</v>
      </c>
      <c r="M2292">
        <v>22701</v>
      </c>
    </row>
    <row r="2293" spans="2:13" x14ac:dyDescent="0.55000000000000004">
      <c r="B2293" s="30">
        <v>42324</v>
      </c>
      <c r="C2293">
        <v>1560</v>
      </c>
      <c r="L2293" s="30">
        <v>43124</v>
      </c>
      <c r="M2293">
        <v>22696</v>
      </c>
    </row>
    <row r="2294" spans="2:13" x14ac:dyDescent="0.55000000000000004">
      <c r="B2294" s="30">
        <v>42321</v>
      </c>
      <c r="C2294">
        <v>1552</v>
      </c>
      <c r="L2294" s="30">
        <v>43123</v>
      </c>
      <c r="M2294">
        <v>22710</v>
      </c>
    </row>
    <row r="2295" spans="2:13" x14ac:dyDescent="0.55000000000000004">
      <c r="B2295" s="30">
        <v>42320</v>
      </c>
      <c r="C2295">
        <v>1609</v>
      </c>
      <c r="L2295" s="30">
        <v>43122</v>
      </c>
      <c r="M2295">
        <v>22701</v>
      </c>
    </row>
    <row r="2296" spans="2:13" x14ac:dyDescent="0.55000000000000004">
      <c r="B2296" s="30">
        <v>42319</v>
      </c>
      <c r="C2296">
        <v>1632</v>
      </c>
      <c r="L2296" s="30">
        <v>43119</v>
      </c>
      <c r="M2296">
        <v>22700</v>
      </c>
    </row>
    <row r="2297" spans="2:13" x14ac:dyDescent="0.55000000000000004">
      <c r="B2297" s="30">
        <v>42318</v>
      </c>
      <c r="C2297">
        <v>1628</v>
      </c>
      <c r="L2297" s="30">
        <v>43118</v>
      </c>
      <c r="M2297">
        <v>22701</v>
      </c>
    </row>
    <row r="2298" spans="2:13" x14ac:dyDescent="0.55000000000000004">
      <c r="B2298" s="30">
        <v>42317</v>
      </c>
      <c r="C2298">
        <v>1625</v>
      </c>
      <c r="L2298" s="30">
        <v>43117</v>
      </c>
      <c r="M2298">
        <v>22700</v>
      </c>
    </row>
    <row r="2299" spans="2:13" x14ac:dyDescent="0.55000000000000004">
      <c r="B2299" s="30">
        <v>42314</v>
      </c>
      <c r="C2299">
        <v>1604</v>
      </c>
      <c r="L2299" s="30">
        <v>43116</v>
      </c>
      <c r="M2299">
        <v>22710</v>
      </c>
    </row>
    <row r="2300" spans="2:13" x14ac:dyDescent="0.55000000000000004">
      <c r="B2300" s="30">
        <v>42313</v>
      </c>
      <c r="C2300">
        <v>1669</v>
      </c>
      <c r="L2300" s="30">
        <v>43115</v>
      </c>
      <c r="M2300">
        <v>22709</v>
      </c>
    </row>
    <row r="2301" spans="2:13" x14ac:dyDescent="0.55000000000000004">
      <c r="B2301" s="30">
        <v>42312</v>
      </c>
      <c r="C2301">
        <v>1670</v>
      </c>
      <c r="L2301" s="30">
        <v>43112</v>
      </c>
      <c r="M2301">
        <v>22708</v>
      </c>
    </row>
    <row r="2302" spans="2:13" x14ac:dyDescent="0.55000000000000004">
      <c r="B2302" s="30">
        <v>42311</v>
      </c>
      <c r="C2302">
        <v>1645</v>
      </c>
      <c r="L2302" s="30">
        <v>43111</v>
      </c>
      <c r="M2302">
        <v>22695</v>
      </c>
    </row>
    <row r="2303" spans="2:13" x14ac:dyDescent="0.55000000000000004">
      <c r="B2303" s="30">
        <v>42310</v>
      </c>
      <c r="C2303">
        <v>1629</v>
      </c>
      <c r="L2303" s="30">
        <v>43110</v>
      </c>
      <c r="M2303">
        <v>22701</v>
      </c>
    </row>
    <row r="2304" spans="2:13" x14ac:dyDescent="0.55000000000000004">
      <c r="B2304" s="30">
        <v>42307</v>
      </c>
      <c r="C2304">
        <v>1643</v>
      </c>
      <c r="L2304" s="30">
        <v>43109</v>
      </c>
      <c r="M2304">
        <v>22709</v>
      </c>
    </row>
    <row r="2305" spans="2:13" x14ac:dyDescent="0.55000000000000004">
      <c r="B2305" s="30">
        <v>42306</v>
      </c>
      <c r="C2305">
        <v>1605</v>
      </c>
      <c r="L2305" s="30">
        <v>43108</v>
      </c>
      <c r="M2305">
        <v>22700</v>
      </c>
    </row>
    <row r="2306" spans="2:13" x14ac:dyDescent="0.55000000000000004">
      <c r="B2306" s="30">
        <v>42305</v>
      </c>
      <c r="C2306">
        <v>1577</v>
      </c>
      <c r="L2306" s="30">
        <v>43105</v>
      </c>
      <c r="M2306">
        <v>22709</v>
      </c>
    </row>
    <row r="2307" spans="2:13" x14ac:dyDescent="0.55000000000000004">
      <c r="B2307" s="30">
        <v>42304</v>
      </c>
      <c r="C2307">
        <v>1559</v>
      </c>
      <c r="L2307" s="30">
        <v>43104</v>
      </c>
      <c r="M2307">
        <v>22710</v>
      </c>
    </row>
    <row r="2308" spans="2:13" x14ac:dyDescent="0.55000000000000004">
      <c r="B2308" s="30">
        <v>42303</v>
      </c>
      <c r="C2308">
        <v>1553</v>
      </c>
      <c r="L2308" s="30">
        <v>43103</v>
      </c>
      <c r="M2308">
        <v>22708</v>
      </c>
    </row>
    <row r="2309" spans="2:13" x14ac:dyDescent="0.55000000000000004">
      <c r="B2309" s="30">
        <v>42300</v>
      </c>
      <c r="C2309">
        <v>1558</v>
      </c>
      <c r="L2309" s="30">
        <v>43102</v>
      </c>
      <c r="M2309">
        <v>22700</v>
      </c>
    </row>
    <row r="2310" spans="2:13" x14ac:dyDescent="0.55000000000000004">
      <c r="B2310" s="30">
        <v>42299</v>
      </c>
      <c r="C2310">
        <v>1586</v>
      </c>
      <c r="L2310" s="30">
        <v>43101</v>
      </c>
      <c r="M2310">
        <v>22700</v>
      </c>
    </row>
    <row r="2311" spans="2:13" x14ac:dyDescent="0.55000000000000004">
      <c r="B2311" s="30">
        <v>42298</v>
      </c>
      <c r="C2311">
        <v>1577</v>
      </c>
      <c r="L2311" s="30">
        <v>43098</v>
      </c>
      <c r="M2311">
        <v>22700</v>
      </c>
    </row>
    <row r="2312" spans="2:13" x14ac:dyDescent="0.55000000000000004">
      <c r="B2312" s="30">
        <v>42297</v>
      </c>
      <c r="C2312">
        <v>1585</v>
      </c>
      <c r="L2312" s="30">
        <v>43097</v>
      </c>
      <c r="M2312">
        <v>22710</v>
      </c>
    </row>
    <row r="2313" spans="2:13" x14ac:dyDescent="0.55000000000000004">
      <c r="B2313" s="30">
        <v>42296</v>
      </c>
      <c r="C2313">
        <v>1600</v>
      </c>
      <c r="L2313" s="30">
        <v>43096</v>
      </c>
      <c r="M2313">
        <v>22710</v>
      </c>
    </row>
    <row r="2314" spans="2:13" x14ac:dyDescent="0.55000000000000004">
      <c r="B2314" s="30">
        <v>42293</v>
      </c>
      <c r="C2314">
        <v>1619</v>
      </c>
      <c r="L2314" s="30">
        <v>43095</v>
      </c>
      <c r="M2314">
        <v>22690</v>
      </c>
    </row>
    <row r="2315" spans="2:13" x14ac:dyDescent="0.55000000000000004">
      <c r="B2315" s="30">
        <v>42292</v>
      </c>
      <c r="C2315">
        <v>1661</v>
      </c>
      <c r="L2315" s="30">
        <v>43094</v>
      </c>
      <c r="M2315">
        <v>22710.5</v>
      </c>
    </row>
    <row r="2316" spans="2:13" x14ac:dyDescent="0.55000000000000004">
      <c r="B2316" s="30">
        <v>42291</v>
      </c>
      <c r="C2316">
        <v>1638</v>
      </c>
      <c r="L2316" s="30">
        <v>43091</v>
      </c>
      <c r="M2316">
        <v>22701</v>
      </c>
    </row>
    <row r="2317" spans="2:13" x14ac:dyDescent="0.55000000000000004">
      <c r="B2317" s="30">
        <v>42290</v>
      </c>
      <c r="C2317">
        <v>1619</v>
      </c>
      <c r="L2317" s="30">
        <v>43090</v>
      </c>
      <c r="M2317">
        <v>22705</v>
      </c>
    </row>
    <row r="2318" spans="2:13" x14ac:dyDescent="0.55000000000000004">
      <c r="B2318" s="30">
        <v>42289</v>
      </c>
      <c r="C2318">
        <v>1637</v>
      </c>
      <c r="L2318" s="30">
        <v>43089</v>
      </c>
      <c r="M2318">
        <v>22700</v>
      </c>
    </row>
    <row r="2319" spans="2:13" x14ac:dyDescent="0.55000000000000004">
      <c r="B2319" s="30">
        <v>42286</v>
      </c>
      <c r="C2319">
        <v>1634</v>
      </c>
      <c r="L2319" s="30">
        <v>43088</v>
      </c>
      <c r="M2319">
        <v>22701</v>
      </c>
    </row>
    <row r="2320" spans="2:13" x14ac:dyDescent="0.55000000000000004">
      <c r="B2320" s="30">
        <v>42285</v>
      </c>
      <c r="C2320">
        <v>1596</v>
      </c>
      <c r="L2320" s="30">
        <v>43087</v>
      </c>
      <c r="M2320">
        <v>22714</v>
      </c>
    </row>
    <row r="2321" spans="2:13" x14ac:dyDescent="0.55000000000000004">
      <c r="B2321" s="30">
        <v>42284</v>
      </c>
      <c r="C2321">
        <v>1573</v>
      </c>
      <c r="L2321" s="30">
        <v>43084</v>
      </c>
      <c r="M2321">
        <v>22700</v>
      </c>
    </row>
    <row r="2322" spans="2:13" x14ac:dyDescent="0.55000000000000004">
      <c r="B2322" s="30">
        <v>42283</v>
      </c>
      <c r="C2322">
        <v>1614</v>
      </c>
      <c r="L2322" s="30">
        <v>43083</v>
      </c>
      <c r="M2322">
        <v>22705</v>
      </c>
    </row>
    <row r="2323" spans="2:13" x14ac:dyDescent="0.55000000000000004">
      <c r="B2323" s="30">
        <v>42282</v>
      </c>
      <c r="C2323">
        <v>1622</v>
      </c>
      <c r="L2323" s="30">
        <v>43082</v>
      </c>
      <c r="M2323">
        <v>22701</v>
      </c>
    </row>
    <row r="2324" spans="2:13" x14ac:dyDescent="0.55000000000000004">
      <c r="B2324" s="30">
        <v>42279</v>
      </c>
      <c r="C2324">
        <v>1583</v>
      </c>
      <c r="L2324" s="30">
        <v>43081</v>
      </c>
      <c r="M2324">
        <v>22701</v>
      </c>
    </row>
    <row r="2325" spans="2:13" x14ac:dyDescent="0.55000000000000004">
      <c r="B2325" s="30">
        <v>42278</v>
      </c>
      <c r="C2325">
        <v>1565</v>
      </c>
      <c r="L2325" s="30">
        <v>43080</v>
      </c>
      <c r="M2325">
        <v>22700</v>
      </c>
    </row>
    <row r="2326" spans="2:13" x14ac:dyDescent="0.55000000000000004">
      <c r="B2326" s="30">
        <v>42277</v>
      </c>
      <c r="C2326">
        <v>1557</v>
      </c>
      <c r="L2326" s="30">
        <v>43077</v>
      </c>
      <c r="M2326">
        <v>22710</v>
      </c>
    </row>
    <row r="2327" spans="2:13" x14ac:dyDescent="0.55000000000000004">
      <c r="B2327" s="30">
        <v>42276</v>
      </c>
      <c r="C2327">
        <v>1576</v>
      </c>
      <c r="L2327" s="30">
        <v>43076</v>
      </c>
      <c r="M2327">
        <v>22701</v>
      </c>
    </row>
    <row r="2328" spans="2:13" x14ac:dyDescent="0.55000000000000004">
      <c r="B2328" s="30">
        <v>42275</v>
      </c>
      <c r="C2328">
        <v>1548</v>
      </c>
      <c r="L2328" s="30">
        <v>43075</v>
      </c>
      <c r="M2328">
        <v>22705</v>
      </c>
    </row>
    <row r="2329" spans="2:13" x14ac:dyDescent="0.55000000000000004">
      <c r="B2329" s="30">
        <v>42272</v>
      </c>
      <c r="C2329">
        <v>1596</v>
      </c>
      <c r="L2329" s="30">
        <v>43074</v>
      </c>
      <c r="M2329">
        <v>22705</v>
      </c>
    </row>
    <row r="2330" spans="2:13" x14ac:dyDescent="0.55000000000000004">
      <c r="B2330" s="30">
        <v>42271</v>
      </c>
      <c r="C2330">
        <v>1566</v>
      </c>
      <c r="L2330" s="30">
        <v>43073</v>
      </c>
      <c r="M2330">
        <v>22702</v>
      </c>
    </row>
    <row r="2331" spans="2:13" x14ac:dyDescent="0.55000000000000004">
      <c r="B2331" s="30">
        <v>42270</v>
      </c>
      <c r="C2331">
        <v>1540</v>
      </c>
      <c r="L2331" s="30">
        <v>43070</v>
      </c>
      <c r="M2331">
        <v>22700</v>
      </c>
    </row>
    <row r="2332" spans="2:13" x14ac:dyDescent="0.55000000000000004">
      <c r="B2332" s="30">
        <v>42269</v>
      </c>
      <c r="C2332">
        <v>1511</v>
      </c>
      <c r="L2332" s="30">
        <v>43069</v>
      </c>
      <c r="M2332">
        <v>22705</v>
      </c>
    </row>
    <row r="2333" spans="2:13" x14ac:dyDescent="0.55000000000000004">
      <c r="B2333" s="30">
        <v>42268</v>
      </c>
      <c r="C2333">
        <v>1533</v>
      </c>
      <c r="L2333" s="30">
        <v>43068</v>
      </c>
      <c r="M2333">
        <v>22715</v>
      </c>
    </row>
    <row r="2334" spans="2:13" x14ac:dyDescent="0.55000000000000004">
      <c r="B2334" s="30">
        <v>42265</v>
      </c>
      <c r="C2334">
        <v>1556</v>
      </c>
      <c r="L2334" s="30">
        <v>43067</v>
      </c>
      <c r="M2334">
        <v>22705</v>
      </c>
    </row>
    <row r="2335" spans="2:13" x14ac:dyDescent="0.55000000000000004">
      <c r="B2335" s="30">
        <v>42264</v>
      </c>
      <c r="C2335">
        <v>1564</v>
      </c>
      <c r="L2335" s="30">
        <v>43066</v>
      </c>
      <c r="M2335">
        <v>22715</v>
      </c>
    </row>
    <row r="2336" spans="2:13" x14ac:dyDescent="0.55000000000000004">
      <c r="B2336" s="30">
        <v>42263</v>
      </c>
      <c r="C2336">
        <v>1581</v>
      </c>
      <c r="L2336" s="30">
        <v>43063</v>
      </c>
      <c r="M2336">
        <v>22715</v>
      </c>
    </row>
    <row r="2337" spans="2:13" x14ac:dyDescent="0.55000000000000004">
      <c r="B2337" s="30">
        <v>42262</v>
      </c>
      <c r="C2337">
        <v>1576</v>
      </c>
      <c r="L2337" s="30">
        <v>43062</v>
      </c>
      <c r="M2337">
        <v>22727</v>
      </c>
    </row>
    <row r="2338" spans="2:13" x14ac:dyDescent="0.55000000000000004">
      <c r="B2338" s="30">
        <v>42261</v>
      </c>
      <c r="C2338">
        <v>1587</v>
      </c>
      <c r="L2338" s="30">
        <v>43061</v>
      </c>
      <c r="M2338">
        <v>22715</v>
      </c>
    </row>
    <row r="2339" spans="2:13" x14ac:dyDescent="0.55000000000000004">
      <c r="B2339" s="30">
        <v>42258</v>
      </c>
      <c r="C2339">
        <v>1552</v>
      </c>
      <c r="L2339" s="30">
        <v>43060</v>
      </c>
      <c r="M2339">
        <v>22700</v>
      </c>
    </row>
    <row r="2340" spans="2:13" x14ac:dyDescent="0.55000000000000004">
      <c r="B2340" s="30">
        <v>42257</v>
      </c>
      <c r="C2340">
        <v>1566</v>
      </c>
      <c r="L2340" s="30">
        <v>43059</v>
      </c>
      <c r="M2340">
        <v>22700</v>
      </c>
    </row>
    <row r="2341" spans="2:13" x14ac:dyDescent="0.55000000000000004">
      <c r="B2341" s="30">
        <v>42256</v>
      </c>
      <c r="C2341">
        <v>1604</v>
      </c>
      <c r="L2341" s="30">
        <v>43056</v>
      </c>
      <c r="M2341">
        <v>22712</v>
      </c>
    </row>
    <row r="2342" spans="2:13" x14ac:dyDescent="0.55000000000000004">
      <c r="B2342" s="30">
        <v>42255</v>
      </c>
      <c r="C2342">
        <v>1592</v>
      </c>
      <c r="L2342" s="30">
        <v>43055</v>
      </c>
      <c r="M2342">
        <v>22701</v>
      </c>
    </row>
    <row r="2343" spans="2:13" x14ac:dyDescent="0.55000000000000004">
      <c r="B2343" s="30">
        <v>42254</v>
      </c>
      <c r="C2343">
        <v>1581</v>
      </c>
      <c r="L2343" s="30">
        <v>43054</v>
      </c>
      <c r="M2343">
        <v>22701</v>
      </c>
    </row>
    <row r="2344" spans="2:13" x14ac:dyDescent="0.55000000000000004">
      <c r="B2344" s="30">
        <v>42251</v>
      </c>
      <c r="C2344">
        <v>1599</v>
      </c>
      <c r="L2344" s="30">
        <v>43053</v>
      </c>
      <c r="M2344">
        <v>22710</v>
      </c>
    </row>
    <row r="2345" spans="2:13" x14ac:dyDescent="0.55000000000000004">
      <c r="B2345" s="30">
        <v>42250</v>
      </c>
      <c r="C2345">
        <v>1590</v>
      </c>
      <c r="L2345" s="30">
        <v>43052</v>
      </c>
      <c r="M2345">
        <v>22695</v>
      </c>
    </row>
    <row r="2346" spans="2:13" x14ac:dyDescent="0.55000000000000004">
      <c r="B2346" s="30">
        <v>42249</v>
      </c>
      <c r="C2346">
        <v>1581</v>
      </c>
      <c r="L2346" s="30">
        <v>43049</v>
      </c>
      <c r="M2346">
        <v>22701</v>
      </c>
    </row>
    <row r="2347" spans="2:13" x14ac:dyDescent="0.55000000000000004">
      <c r="B2347" s="30">
        <v>42248</v>
      </c>
      <c r="C2347">
        <v>1603</v>
      </c>
      <c r="L2347" s="30">
        <v>43048</v>
      </c>
      <c r="M2347">
        <v>22700</v>
      </c>
    </row>
    <row r="2348" spans="2:13" x14ac:dyDescent="0.55000000000000004">
      <c r="B2348" s="30">
        <v>42247</v>
      </c>
      <c r="C2348">
        <v>1611</v>
      </c>
      <c r="L2348" s="30">
        <v>43047</v>
      </c>
      <c r="M2348">
        <v>22700</v>
      </c>
    </row>
    <row r="2349" spans="2:13" x14ac:dyDescent="0.55000000000000004">
      <c r="B2349" s="30">
        <v>42244</v>
      </c>
      <c r="C2349">
        <v>1611</v>
      </c>
      <c r="L2349" s="30">
        <v>43046</v>
      </c>
      <c r="M2349">
        <v>22701</v>
      </c>
    </row>
    <row r="2350" spans="2:13" x14ac:dyDescent="0.55000000000000004">
      <c r="B2350" s="30">
        <v>42243</v>
      </c>
      <c r="C2350">
        <v>1641</v>
      </c>
      <c r="L2350" s="30">
        <v>43045</v>
      </c>
      <c r="M2350">
        <v>22705</v>
      </c>
    </row>
    <row r="2351" spans="2:13" x14ac:dyDescent="0.55000000000000004">
      <c r="B2351" s="30">
        <v>42242</v>
      </c>
      <c r="C2351">
        <v>1615</v>
      </c>
      <c r="L2351" s="30">
        <v>43042</v>
      </c>
      <c r="M2351">
        <v>22700</v>
      </c>
    </row>
    <row r="2352" spans="2:13" x14ac:dyDescent="0.55000000000000004">
      <c r="B2352" s="30">
        <v>42241</v>
      </c>
      <c r="C2352">
        <v>1615</v>
      </c>
      <c r="L2352" s="30">
        <v>43041</v>
      </c>
      <c r="M2352">
        <v>22700</v>
      </c>
    </row>
    <row r="2353" spans="2:13" x14ac:dyDescent="0.55000000000000004">
      <c r="B2353" s="30">
        <v>42240</v>
      </c>
      <c r="C2353">
        <v>1627</v>
      </c>
      <c r="L2353" s="30">
        <v>43040</v>
      </c>
      <c r="M2353">
        <v>22701</v>
      </c>
    </row>
    <row r="2354" spans="2:13" x14ac:dyDescent="0.55000000000000004">
      <c r="B2354" s="30">
        <v>42237</v>
      </c>
      <c r="C2354">
        <v>1642</v>
      </c>
      <c r="L2354" s="30">
        <v>43039</v>
      </c>
      <c r="M2354">
        <v>22700</v>
      </c>
    </row>
    <row r="2355" spans="2:13" x14ac:dyDescent="0.55000000000000004">
      <c r="B2355" s="30">
        <v>42236</v>
      </c>
      <c r="C2355">
        <v>1665</v>
      </c>
      <c r="L2355" s="30">
        <v>43038</v>
      </c>
      <c r="M2355">
        <v>22700</v>
      </c>
    </row>
    <row r="2356" spans="2:13" x14ac:dyDescent="0.55000000000000004">
      <c r="B2356" s="30">
        <v>42235</v>
      </c>
      <c r="C2356">
        <v>1683</v>
      </c>
      <c r="L2356" s="30">
        <v>43035</v>
      </c>
      <c r="M2356">
        <v>22700</v>
      </c>
    </row>
    <row r="2357" spans="2:13" x14ac:dyDescent="0.55000000000000004">
      <c r="B2357" s="30">
        <v>42234</v>
      </c>
      <c r="C2357">
        <v>1722</v>
      </c>
      <c r="L2357" s="30">
        <v>43034</v>
      </c>
      <c r="M2357">
        <v>22720</v>
      </c>
    </row>
    <row r="2358" spans="2:13" x14ac:dyDescent="0.55000000000000004">
      <c r="B2358" s="30">
        <v>42233</v>
      </c>
      <c r="C2358">
        <v>1715</v>
      </c>
      <c r="L2358" s="30">
        <v>43033</v>
      </c>
      <c r="M2358">
        <v>22720</v>
      </c>
    </row>
    <row r="2359" spans="2:13" x14ac:dyDescent="0.55000000000000004">
      <c r="B2359" s="30">
        <v>42230</v>
      </c>
      <c r="C2359">
        <v>1726</v>
      </c>
      <c r="L2359" s="30">
        <v>43032</v>
      </c>
      <c r="M2359">
        <v>22719</v>
      </c>
    </row>
    <row r="2360" spans="2:13" x14ac:dyDescent="0.55000000000000004">
      <c r="B2360" s="30">
        <v>42229</v>
      </c>
      <c r="C2360">
        <v>1719</v>
      </c>
      <c r="L2360" s="30">
        <v>43031</v>
      </c>
      <c r="M2360">
        <v>22723</v>
      </c>
    </row>
    <row r="2361" spans="2:13" x14ac:dyDescent="0.55000000000000004">
      <c r="B2361" s="30">
        <v>42228</v>
      </c>
      <c r="C2361">
        <v>1715</v>
      </c>
      <c r="L2361" s="30">
        <v>43028</v>
      </c>
      <c r="M2361">
        <v>22718</v>
      </c>
    </row>
    <row r="2362" spans="2:13" x14ac:dyDescent="0.55000000000000004">
      <c r="B2362" s="30">
        <v>42227</v>
      </c>
      <c r="C2362">
        <v>1740</v>
      </c>
      <c r="L2362" s="30">
        <v>43027</v>
      </c>
      <c r="M2362">
        <v>22710</v>
      </c>
    </row>
    <row r="2363" spans="2:13" x14ac:dyDescent="0.55000000000000004">
      <c r="B2363" s="30">
        <v>42226</v>
      </c>
      <c r="C2363">
        <v>1711</v>
      </c>
      <c r="L2363" s="30">
        <v>43026</v>
      </c>
      <c r="M2363">
        <v>22719</v>
      </c>
    </row>
    <row r="2364" spans="2:13" x14ac:dyDescent="0.55000000000000004">
      <c r="B2364" s="30">
        <v>42223</v>
      </c>
      <c r="C2364">
        <v>1681</v>
      </c>
      <c r="L2364" s="30">
        <v>43025</v>
      </c>
      <c r="M2364">
        <v>22718</v>
      </c>
    </row>
    <row r="2365" spans="2:13" x14ac:dyDescent="0.55000000000000004">
      <c r="B2365" s="30">
        <v>42222</v>
      </c>
      <c r="C2365">
        <v>1659</v>
      </c>
      <c r="L2365" s="30">
        <v>43024</v>
      </c>
      <c r="M2365">
        <v>22705</v>
      </c>
    </row>
    <row r="2366" spans="2:13" x14ac:dyDescent="0.55000000000000004">
      <c r="B2366" s="30">
        <v>42221</v>
      </c>
      <c r="C2366">
        <v>1671</v>
      </c>
      <c r="L2366" s="30">
        <v>43021</v>
      </c>
      <c r="M2366">
        <v>22710</v>
      </c>
    </row>
    <row r="2367" spans="2:13" x14ac:dyDescent="0.55000000000000004">
      <c r="B2367" s="30">
        <v>42220</v>
      </c>
      <c r="C2367">
        <v>1658</v>
      </c>
      <c r="L2367" s="30">
        <v>43020</v>
      </c>
      <c r="M2367">
        <v>22719</v>
      </c>
    </row>
    <row r="2368" spans="2:13" x14ac:dyDescent="0.55000000000000004">
      <c r="B2368" s="30">
        <v>42219</v>
      </c>
      <c r="C2368">
        <v>1645</v>
      </c>
      <c r="L2368" s="30">
        <v>43019</v>
      </c>
      <c r="M2368">
        <v>22718</v>
      </c>
    </row>
    <row r="2369" spans="2:13" x14ac:dyDescent="0.55000000000000004">
      <c r="B2369" s="30">
        <v>42216</v>
      </c>
      <c r="C2369">
        <v>1638</v>
      </c>
      <c r="L2369" s="30">
        <v>43018</v>
      </c>
      <c r="M2369">
        <v>22720</v>
      </c>
    </row>
    <row r="2370" spans="2:13" x14ac:dyDescent="0.55000000000000004">
      <c r="B2370" s="30">
        <v>42215</v>
      </c>
      <c r="C2370">
        <v>1648</v>
      </c>
      <c r="L2370" s="30">
        <v>43017</v>
      </c>
      <c r="M2370">
        <v>22725</v>
      </c>
    </row>
    <row r="2371" spans="2:13" x14ac:dyDescent="0.55000000000000004">
      <c r="B2371" s="30">
        <v>42214</v>
      </c>
      <c r="C2371">
        <v>1638</v>
      </c>
      <c r="L2371" s="30">
        <v>43014</v>
      </c>
      <c r="M2371">
        <v>22715</v>
      </c>
    </row>
    <row r="2372" spans="2:13" x14ac:dyDescent="0.55000000000000004">
      <c r="B2372" s="30">
        <v>42213</v>
      </c>
      <c r="C2372">
        <v>1626</v>
      </c>
      <c r="L2372" s="30">
        <v>43013</v>
      </c>
      <c r="M2372">
        <v>22715</v>
      </c>
    </row>
    <row r="2373" spans="2:13" x14ac:dyDescent="0.55000000000000004">
      <c r="B2373" s="30">
        <v>42212</v>
      </c>
      <c r="C2373">
        <v>1627</v>
      </c>
      <c r="L2373" s="30">
        <v>43012</v>
      </c>
      <c r="M2373">
        <v>22720</v>
      </c>
    </row>
    <row r="2374" spans="2:13" x14ac:dyDescent="0.55000000000000004">
      <c r="B2374" s="30">
        <v>42209</v>
      </c>
      <c r="C2374">
        <v>1650</v>
      </c>
      <c r="L2374" s="30">
        <v>43011</v>
      </c>
      <c r="M2374">
        <v>22715</v>
      </c>
    </row>
    <row r="2375" spans="2:13" x14ac:dyDescent="0.55000000000000004">
      <c r="B2375" s="30">
        <v>42208</v>
      </c>
      <c r="C2375">
        <v>1661</v>
      </c>
      <c r="L2375" s="30">
        <v>43010</v>
      </c>
      <c r="M2375">
        <v>22715</v>
      </c>
    </row>
    <row r="2376" spans="2:13" x14ac:dyDescent="0.55000000000000004">
      <c r="B2376" s="30">
        <v>42207</v>
      </c>
      <c r="C2376">
        <v>1681</v>
      </c>
      <c r="L2376" s="30">
        <v>43007</v>
      </c>
      <c r="M2376">
        <v>22720</v>
      </c>
    </row>
    <row r="2377" spans="2:13" x14ac:dyDescent="0.55000000000000004">
      <c r="B2377" s="30">
        <v>42206</v>
      </c>
      <c r="C2377">
        <v>1664</v>
      </c>
      <c r="L2377" s="30">
        <v>43006</v>
      </c>
      <c r="M2377">
        <v>22715</v>
      </c>
    </row>
    <row r="2378" spans="2:13" x14ac:dyDescent="0.55000000000000004">
      <c r="B2378" s="30">
        <v>42205</v>
      </c>
      <c r="C2378">
        <v>1678</v>
      </c>
      <c r="L2378" s="30">
        <v>43005</v>
      </c>
      <c r="M2378">
        <v>22720</v>
      </c>
    </row>
    <row r="2379" spans="2:13" x14ac:dyDescent="0.55000000000000004">
      <c r="B2379" s="30">
        <v>42202</v>
      </c>
      <c r="C2379">
        <v>1675</v>
      </c>
      <c r="L2379" s="30">
        <v>43004</v>
      </c>
      <c r="M2379">
        <v>22720</v>
      </c>
    </row>
    <row r="2380" spans="2:13" x14ac:dyDescent="0.55000000000000004">
      <c r="B2380" s="30">
        <v>42201</v>
      </c>
      <c r="C2380">
        <v>1705</v>
      </c>
      <c r="L2380" s="30">
        <v>43003</v>
      </c>
      <c r="M2380">
        <v>22730</v>
      </c>
    </row>
    <row r="2381" spans="2:13" x14ac:dyDescent="0.55000000000000004">
      <c r="B2381" s="30">
        <v>42200</v>
      </c>
      <c r="C2381">
        <v>1725</v>
      </c>
      <c r="L2381" s="30">
        <v>43000</v>
      </c>
      <c r="M2381">
        <v>22715</v>
      </c>
    </row>
    <row r="2382" spans="2:13" x14ac:dyDescent="0.55000000000000004">
      <c r="B2382" s="30">
        <v>42199</v>
      </c>
      <c r="C2382">
        <v>1742</v>
      </c>
      <c r="L2382" s="30">
        <v>42999</v>
      </c>
      <c r="M2382">
        <v>22720</v>
      </c>
    </row>
    <row r="2383" spans="2:13" x14ac:dyDescent="0.55000000000000004">
      <c r="B2383" s="30">
        <v>42198</v>
      </c>
      <c r="C2383">
        <v>1738</v>
      </c>
      <c r="L2383" s="30">
        <v>42998</v>
      </c>
      <c r="M2383">
        <v>22725</v>
      </c>
    </row>
    <row r="2384" spans="2:13" x14ac:dyDescent="0.55000000000000004">
      <c r="B2384" s="30">
        <v>42195</v>
      </c>
      <c r="C2384">
        <v>1723</v>
      </c>
      <c r="L2384" s="30">
        <v>42997</v>
      </c>
      <c r="M2384">
        <v>22720</v>
      </c>
    </row>
    <row r="2385" spans="2:13" x14ac:dyDescent="0.55000000000000004">
      <c r="B2385" s="30">
        <v>42194</v>
      </c>
      <c r="C2385">
        <v>1728</v>
      </c>
      <c r="L2385" s="30">
        <v>42996</v>
      </c>
      <c r="M2385">
        <v>22721</v>
      </c>
    </row>
    <row r="2386" spans="2:13" x14ac:dyDescent="0.55000000000000004">
      <c r="B2386" s="30">
        <v>42193</v>
      </c>
      <c r="C2386">
        <v>1725</v>
      </c>
      <c r="L2386" s="30">
        <v>42993</v>
      </c>
      <c r="M2386">
        <v>22715</v>
      </c>
    </row>
    <row r="2387" spans="2:13" x14ac:dyDescent="0.55000000000000004">
      <c r="B2387" s="30">
        <v>42192</v>
      </c>
      <c r="C2387">
        <v>1711</v>
      </c>
      <c r="L2387" s="30">
        <v>42992</v>
      </c>
      <c r="M2387">
        <v>22720</v>
      </c>
    </row>
    <row r="2388" spans="2:13" x14ac:dyDescent="0.55000000000000004">
      <c r="B2388" s="30">
        <v>42191</v>
      </c>
      <c r="C2388">
        <v>1711</v>
      </c>
      <c r="L2388" s="30">
        <v>42991</v>
      </c>
      <c r="M2388">
        <v>22720</v>
      </c>
    </row>
    <row r="2389" spans="2:13" x14ac:dyDescent="0.55000000000000004">
      <c r="B2389" s="30">
        <v>42188</v>
      </c>
      <c r="C2389">
        <v>1748</v>
      </c>
      <c r="L2389" s="30">
        <v>42990</v>
      </c>
      <c r="M2389">
        <v>22720</v>
      </c>
    </row>
    <row r="2390" spans="2:13" x14ac:dyDescent="0.55000000000000004">
      <c r="B2390" s="30">
        <v>42187</v>
      </c>
      <c r="C2390">
        <v>1745</v>
      </c>
      <c r="L2390" s="30">
        <v>42989</v>
      </c>
      <c r="M2390">
        <v>22710</v>
      </c>
    </row>
    <row r="2391" spans="2:13" x14ac:dyDescent="0.55000000000000004">
      <c r="B2391" s="30">
        <v>42186</v>
      </c>
      <c r="C2391">
        <v>1771</v>
      </c>
      <c r="L2391" s="30">
        <v>42986</v>
      </c>
      <c r="M2391">
        <v>22725</v>
      </c>
    </row>
    <row r="2392" spans="2:13" x14ac:dyDescent="0.55000000000000004">
      <c r="B2392" s="30">
        <v>42185</v>
      </c>
      <c r="C2392">
        <v>1784</v>
      </c>
      <c r="L2392" s="30">
        <v>42985</v>
      </c>
      <c r="M2392">
        <v>22720</v>
      </c>
    </row>
    <row r="2393" spans="2:13" x14ac:dyDescent="0.55000000000000004">
      <c r="B2393" s="30">
        <v>42184</v>
      </c>
      <c r="C2393">
        <v>1792</v>
      </c>
      <c r="L2393" s="30">
        <v>42984</v>
      </c>
      <c r="M2393">
        <v>22720</v>
      </c>
    </row>
    <row r="2394" spans="2:13" x14ac:dyDescent="0.55000000000000004">
      <c r="B2394" s="30">
        <v>42181</v>
      </c>
      <c r="C2394">
        <v>1818</v>
      </c>
      <c r="L2394" s="30">
        <v>42983</v>
      </c>
      <c r="M2394">
        <v>22728</v>
      </c>
    </row>
    <row r="2395" spans="2:13" x14ac:dyDescent="0.55000000000000004">
      <c r="B2395" s="30">
        <v>42180</v>
      </c>
      <c r="C2395">
        <v>1799</v>
      </c>
      <c r="L2395" s="30">
        <v>42982</v>
      </c>
      <c r="M2395">
        <v>22725</v>
      </c>
    </row>
    <row r="2396" spans="2:13" x14ac:dyDescent="0.55000000000000004">
      <c r="B2396" s="30">
        <v>42179</v>
      </c>
      <c r="C2396">
        <v>1818</v>
      </c>
      <c r="L2396" s="30">
        <v>42979</v>
      </c>
      <c r="M2396">
        <v>22725</v>
      </c>
    </row>
    <row r="2397" spans="2:13" x14ac:dyDescent="0.55000000000000004">
      <c r="B2397" s="30">
        <v>42178</v>
      </c>
      <c r="C2397">
        <v>1755</v>
      </c>
      <c r="L2397" s="30">
        <v>42978</v>
      </c>
      <c r="M2397">
        <v>22715</v>
      </c>
    </row>
    <row r="2398" spans="2:13" x14ac:dyDescent="0.55000000000000004">
      <c r="B2398" s="30">
        <v>42177</v>
      </c>
      <c r="C2398">
        <v>1802</v>
      </c>
      <c r="L2398" s="30">
        <v>42977</v>
      </c>
      <c r="M2398">
        <v>22725</v>
      </c>
    </row>
    <row r="2399" spans="2:13" x14ac:dyDescent="0.55000000000000004">
      <c r="B2399" s="30">
        <v>42174</v>
      </c>
      <c r="C2399">
        <v>1773</v>
      </c>
      <c r="L2399" s="30">
        <v>42976</v>
      </c>
      <c r="M2399">
        <v>22725</v>
      </c>
    </row>
    <row r="2400" spans="2:13" x14ac:dyDescent="0.55000000000000004">
      <c r="B2400" s="30">
        <v>42173</v>
      </c>
      <c r="C2400">
        <v>1780</v>
      </c>
      <c r="L2400" s="30">
        <v>42975</v>
      </c>
      <c r="M2400">
        <v>22725</v>
      </c>
    </row>
    <row r="2401" spans="2:13" x14ac:dyDescent="0.55000000000000004">
      <c r="B2401" s="30">
        <v>42172</v>
      </c>
      <c r="C2401">
        <v>1750</v>
      </c>
      <c r="L2401" s="30">
        <v>42972</v>
      </c>
      <c r="M2401">
        <v>22732</v>
      </c>
    </row>
    <row r="2402" spans="2:13" x14ac:dyDescent="0.55000000000000004">
      <c r="B2402" s="30">
        <v>42171</v>
      </c>
      <c r="C2402">
        <v>1754</v>
      </c>
      <c r="L2402" s="30">
        <v>42971</v>
      </c>
      <c r="M2402">
        <v>22738</v>
      </c>
    </row>
    <row r="2403" spans="2:13" x14ac:dyDescent="0.55000000000000004">
      <c r="B2403" s="30">
        <v>42170</v>
      </c>
      <c r="C2403">
        <v>1734</v>
      </c>
      <c r="L2403" s="30">
        <v>42970</v>
      </c>
      <c r="M2403">
        <v>22730</v>
      </c>
    </row>
    <row r="2404" spans="2:13" x14ac:dyDescent="0.55000000000000004">
      <c r="B2404" s="30">
        <v>42167</v>
      </c>
      <c r="C2404">
        <v>1733</v>
      </c>
      <c r="L2404" s="30">
        <v>42969</v>
      </c>
      <c r="M2404">
        <v>22728</v>
      </c>
    </row>
    <row r="2405" spans="2:13" x14ac:dyDescent="0.55000000000000004">
      <c r="B2405" s="30">
        <v>42166</v>
      </c>
      <c r="C2405">
        <v>1727</v>
      </c>
      <c r="L2405" s="30">
        <v>42968</v>
      </c>
      <c r="M2405">
        <v>22727</v>
      </c>
    </row>
    <row r="2406" spans="2:13" x14ac:dyDescent="0.55000000000000004">
      <c r="B2406" s="30">
        <v>42165</v>
      </c>
      <c r="C2406">
        <v>1757</v>
      </c>
      <c r="L2406" s="30">
        <v>42965</v>
      </c>
      <c r="M2406">
        <v>22728</v>
      </c>
    </row>
    <row r="2407" spans="2:13" x14ac:dyDescent="0.55000000000000004">
      <c r="B2407" s="30">
        <v>42164</v>
      </c>
      <c r="C2407">
        <v>1752</v>
      </c>
      <c r="L2407" s="30">
        <v>42964</v>
      </c>
      <c r="M2407">
        <v>22728</v>
      </c>
    </row>
    <row r="2408" spans="2:13" x14ac:dyDescent="0.55000000000000004">
      <c r="B2408" s="30">
        <v>42163</v>
      </c>
      <c r="C2408">
        <v>1740</v>
      </c>
      <c r="L2408" s="30">
        <v>42963</v>
      </c>
      <c r="M2408">
        <v>22727</v>
      </c>
    </row>
    <row r="2409" spans="2:13" x14ac:dyDescent="0.55000000000000004">
      <c r="B2409" s="30">
        <v>42160</v>
      </c>
      <c r="C2409">
        <v>1746</v>
      </c>
      <c r="L2409" s="30">
        <v>42962</v>
      </c>
      <c r="M2409">
        <v>22727</v>
      </c>
    </row>
    <row r="2410" spans="2:13" x14ac:dyDescent="0.55000000000000004">
      <c r="B2410" s="30">
        <v>42159</v>
      </c>
      <c r="C2410">
        <v>1752</v>
      </c>
      <c r="L2410" s="30">
        <v>42961</v>
      </c>
      <c r="M2410">
        <v>22727</v>
      </c>
    </row>
    <row r="2411" spans="2:13" x14ac:dyDescent="0.55000000000000004">
      <c r="B2411" s="30">
        <v>42158</v>
      </c>
      <c r="C2411">
        <v>1740</v>
      </c>
      <c r="L2411" s="30">
        <v>42958</v>
      </c>
      <c r="M2411">
        <v>22727</v>
      </c>
    </row>
    <row r="2412" spans="2:13" x14ac:dyDescent="0.55000000000000004">
      <c r="B2412" s="30">
        <v>42157</v>
      </c>
      <c r="C2412">
        <v>1740</v>
      </c>
      <c r="L2412" s="30">
        <v>42957</v>
      </c>
      <c r="M2412">
        <v>22730</v>
      </c>
    </row>
    <row r="2413" spans="2:13" x14ac:dyDescent="0.55000000000000004">
      <c r="B2413" s="30">
        <v>42156</v>
      </c>
      <c r="C2413">
        <v>1718</v>
      </c>
      <c r="L2413" s="30">
        <v>42956</v>
      </c>
      <c r="M2413">
        <v>22729</v>
      </c>
    </row>
    <row r="2414" spans="2:13" x14ac:dyDescent="0.55000000000000004">
      <c r="B2414" s="30">
        <v>42153</v>
      </c>
      <c r="C2414">
        <v>1632</v>
      </c>
      <c r="L2414" s="30">
        <v>42955</v>
      </c>
      <c r="M2414">
        <v>22725</v>
      </c>
    </row>
    <row r="2415" spans="2:13" x14ac:dyDescent="0.55000000000000004">
      <c r="B2415" s="30">
        <v>42152</v>
      </c>
      <c r="C2415">
        <v>1622</v>
      </c>
      <c r="L2415" s="30">
        <v>42954</v>
      </c>
      <c r="M2415">
        <v>22730</v>
      </c>
    </row>
    <row r="2416" spans="2:13" x14ac:dyDescent="0.55000000000000004">
      <c r="B2416" s="30">
        <v>42151</v>
      </c>
      <c r="C2416">
        <v>1618</v>
      </c>
      <c r="L2416" s="30">
        <v>42951</v>
      </c>
      <c r="M2416">
        <v>22725</v>
      </c>
    </row>
    <row r="2417" spans="2:13" x14ac:dyDescent="0.55000000000000004">
      <c r="B2417" s="30">
        <v>42150</v>
      </c>
      <c r="C2417">
        <v>1575</v>
      </c>
      <c r="L2417" s="30">
        <v>42950</v>
      </c>
      <c r="M2417">
        <v>22725</v>
      </c>
    </row>
    <row r="2418" spans="2:13" x14ac:dyDescent="0.55000000000000004">
      <c r="B2418" s="30">
        <v>42149</v>
      </c>
      <c r="C2418">
        <v>1626</v>
      </c>
      <c r="L2418" s="30">
        <v>42949</v>
      </c>
      <c r="M2418">
        <v>22720</v>
      </c>
    </row>
    <row r="2419" spans="2:13" x14ac:dyDescent="0.55000000000000004">
      <c r="B2419" s="30">
        <v>42146</v>
      </c>
      <c r="C2419">
        <v>1626</v>
      </c>
      <c r="L2419" s="30">
        <v>42948</v>
      </c>
      <c r="M2419">
        <v>22720</v>
      </c>
    </row>
    <row r="2420" spans="2:13" x14ac:dyDescent="0.55000000000000004">
      <c r="B2420" s="30">
        <v>42145</v>
      </c>
      <c r="C2420">
        <v>1682</v>
      </c>
      <c r="L2420" s="30">
        <v>42947</v>
      </c>
      <c r="M2420">
        <v>22726</v>
      </c>
    </row>
    <row r="2421" spans="2:13" x14ac:dyDescent="0.55000000000000004">
      <c r="B2421" s="30">
        <v>42144</v>
      </c>
      <c r="C2421">
        <v>1725</v>
      </c>
      <c r="L2421" s="30">
        <v>42944</v>
      </c>
      <c r="M2421">
        <v>22728</v>
      </c>
    </row>
    <row r="2422" spans="2:13" x14ac:dyDescent="0.55000000000000004">
      <c r="B2422" s="30">
        <v>42143</v>
      </c>
      <c r="C2422">
        <v>1750</v>
      </c>
      <c r="L2422" s="30">
        <v>42943</v>
      </c>
      <c r="M2422">
        <v>22700</v>
      </c>
    </row>
    <row r="2423" spans="2:13" x14ac:dyDescent="0.55000000000000004">
      <c r="B2423" s="30">
        <v>42142</v>
      </c>
      <c r="C2423">
        <v>1769</v>
      </c>
      <c r="L2423" s="30">
        <v>42942</v>
      </c>
      <c r="M2423">
        <v>22705</v>
      </c>
    </row>
    <row r="2424" spans="2:13" x14ac:dyDescent="0.55000000000000004">
      <c r="B2424" s="30">
        <v>42139</v>
      </c>
      <c r="C2424">
        <v>1744</v>
      </c>
      <c r="L2424" s="30">
        <v>42941</v>
      </c>
      <c r="M2424">
        <v>22725</v>
      </c>
    </row>
    <row r="2425" spans="2:13" x14ac:dyDescent="0.55000000000000004">
      <c r="B2425" s="30">
        <v>42138</v>
      </c>
      <c r="C2425">
        <v>1747</v>
      </c>
      <c r="L2425" s="30">
        <v>42940</v>
      </c>
      <c r="M2425">
        <v>22710</v>
      </c>
    </row>
    <row r="2426" spans="2:13" x14ac:dyDescent="0.55000000000000004">
      <c r="B2426" s="30">
        <v>42137</v>
      </c>
      <c r="C2426">
        <v>1724</v>
      </c>
      <c r="L2426" s="30">
        <v>42937</v>
      </c>
      <c r="M2426">
        <v>22700</v>
      </c>
    </row>
    <row r="2427" spans="2:13" x14ac:dyDescent="0.55000000000000004">
      <c r="B2427" s="30">
        <v>42136</v>
      </c>
      <c r="C2427">
        <v>1731</v>
      </c>
      <c r="L2427" s="30">
        <v>42936</v>
      </c>
      <c r="M2427">
        <v>22725</v>
      </c>
    </row>
    <row r="2428" spans="2:13" x14ac:dyDescent="0.55000000000000004">
      <c r="B2428" s="30">
        <v>42135</v>
      </c>
      <c r="C2428">
        <v>1744</v>
      </c>
      <c r="L2428" s="30">
        <v>42935</v>
      </c>
      <c r="M2428">
        <v>22730</v>
      </c>
    </row>
    <row r="2429" spans="2:13" x14ac:dyDescent="0.55000000000000004">
      <c r="B2429" s="30">
        <v>42132</v>
      </c>
      <c r="C2429">
        <v>1758</v>
      </c>
      <c r="L2429" s="30">
        <v>42934</v>
      </c>
      <c r="M2429">
        <v>22715</v>
      </c>
    </row>
    <row r="2430" spans="2:13" x14ac:dyDescent="0.55000000000000004">
      <c r="B2430" s="30">
        <v>42131</v>
      </c>
      <c r="C2430">
        <v>1718</v>
      </c>
      <c r="L2430" s="30">
        <v>42933</v>
      </c>
      <c r="M2430">
        <v>22715</v>
      </c>
    </row>
    <row r="2431" spans="2:13" x14ac:dyDescent="0.55000000000000004">
      <c r="B2431" s="30">
        <v>42130</v>
      </c>
      <c r="C2431">
        <v>1736</v>
      </c>
      <c r="L2431" s="30">
        <v>42930</v>
      </c>
      <c r="M2431">
        <v>22705</v>
      </c>
    </row>
    <row r="2432" spans="2:13" x14ac:dyDescent="0.55000000000000004">
      <c r="B2432" s="30">
        <v>42129</v>
      </c>
      <c r="C2432">
        <v>1778</v>
      </c>
      <c r="L2432" s="30">
        <v>42929</v>
      </c>
      <c r="M2432">
        <v>22705</v>
      </c>
    </row>
    <row r="2433" spans="2:13" x14ac:dyDescent="0.55000000000000004">
      <c r="B2433" s="30">
        <v>42128</v>
      </c>
      <c r="C2433">
        <v>1772</v>
      </c>
      <c r="L2433" s="30">
        <v>42928</v>
      </c>
      <c r="M2433">
        <v>22705</v>
      </c>
    </row>
    <row r="2434" spans="2:13" x14ac:dyDescent="0.55000000000000004">
      <c r="B2434" s="30">
        <v>42125</v>
      </c>
      <c r="C2434">
        <v>1772</v>
      </c>
      <c r="L2434" s="30">
        <v>42927</v>
      </c>
      <c r="M2434">
        <v>22700</v>
      </c>
    </row>
    <row r="2435" spans="2:13" x14ac:dyDescent="0.55000000000000004">
      <c r="B2435" s="30">
        <v>42124</v>
      </c>
      <c r="C2435">
        <v>1792</v>
      </c>
      <c r="L2435" s="30">
        <v>42926</v>
      </c>
      <c r="M2435">
        <v>22705</v>
      </c>
    </row>
    <row r="2436" spans="2:13" x14ac:dyDescent="0.55000000000000004">
      <c r="B2436" s="30">
        <v>42123</v>
      </c>
      <c r="C2436">
        <v>1776</v>
      </c>
      <c r="L2436" s="30">
        <v>42923</v>
      </c>
      <c r="M2436">
        <v>22705</v>
      </c>
    </row>
    <row r="2437" spans="2:13" x14ac:dyDescent="0.55000000000000004">
      <c r="B2437" s="30">
        <v>42122</v>
      </c>
      <c r="C2437">
        <v>1772</v>
      </c>
      <c r="L2437" s="30">
        <v>42922</v>
      </c>
      <c r="M2437">
        <v>22730</v>
      </c>
    </row>
    <row r="2438" spans="2:13" x14ac:dyDescent="0.55000000000000004">
      <c r="B2438" s="30">
        <v>42121</v>
      </c>
      <c r="C2438">
        <v>1760</v>
      </c>
      <c r="L2438" s="30">
        <v>42921</v>
      </c>
      <c r="M2438">
        <v>22735</v>
      </c>
    </row>
    <row r="2439" spans="2:13" x14ac:dyDescent="0.55000000000000004">
      <c r="B2439" s="30">
        <v>42118</v>
      </c>
      <c r="C2439">
        <v>1816</v>
      </c>
      <c r="L2439" s="30">
        <v>42920</v>
      </c>
      <c r="M2439">
        <v>22736</v>
      </c>
    </row>
    <row r="2440" spans="2:13" x14ac:dyDescent="0.55000000000000004">
      <c r="B2440" s="30">
        <v>42117</v>
      </c>
      <c r="C2440">
        <v>1830</v>
      </c>
      <c r="L2440" s="30">
        <v>42919</v>
      </c>
      <c r="M2440">
        <v>22735</v>
      </c>
    </row>
    <row r="2441" spans="2:13" x14ac:dyDescent="0.55000000000000004">
      <c r="B2441" s="30">
        <v>42116</v>
      </c>
      <c r="C2441">
        <v>1841</v>
      </c>
      <c r="L2441" s="30">
        <v>42916</v>
      </c>
      <c r="M2441">
        <v>22700</v>
      </c>
    </row>
    <row r="2442" spans="2:13" x14ac:dyDescent="0.55000000000000004">
      <c r="B2442" s="30">
        <v>42115</v>
      </c>
      <c r="C2442">
        <v>1825</v>
      </c>
      <c r="L2442" s="30">
        <v>42915</v>
      </c>
      <c r="M2442">
        <v>22725</v>
      </c>
    </row>
    <row r="2443" spans="2:13" x14ac:dyDescent="0.55000000000000004">
      <c r="B2443" s="30">
        <v>42114</v>
      </c>
      <c r="C2443">
        <v>1829</v>
      </c>
      <c r="L2443" s="30">
        <v>42914</v>
      </c>
      <c r="M2443">
        <v>22725</v>
      </c>
    </row>
    <row r="2444" spans="2:13" x14ac:dyDescent="0.55000000000000004">
      <c r="B2444" s="30">
        <v>42111</v>
      </c>
      <c r="C2444">
        <v>1826</v>
      </c>
      <c r="L2444" s="30">
        <v>42913</v>
      </c>
      <c r="M2444">
        <v>22700</v>
      </c>
    </row>
    <row r="2445" spans="2:13" x14ac:dyDescent="0.55000000000000004">
      <c r="B2445" s="30">
        <v>42110</v>
      </c>
      <c r="C2445">
        <v>1827</v>
      </c>
      <c r="L2445" s="30">
        <v>42912</v>
      </c>
      <c r="M2445">
        <v>22705</v>
      </c>
    </row>
    <row r="2446" spans="2:13" x14ac:dyDescent="0.55000000000000004">
      <c r="B2446" s="30">
        <v>42109</v>
      </c>
      <c r="C2446">
        <v>1818</v>
      </c>
      <c r="L2446" s="30">
        <v>42909</v>
      </c>
      <c r="M2446">
        <v>22710</v>
      </c>
    </row>
    <row r="2447" spans="2:13" x14ac:dyDescent="0.55000000000000004">
      <c r="B2447" s="30">
        <v>42108</v>
      </c>
      <c r="C2447">
        <v>1820</v>
      </c>
      <c r="L2447" s="30">
        <v>42908</v>
      </c>
      <c r="M2447">
        <v>22670</v>
      </c>
    </row>
    <row r="2448" spans="2:13" x14ac:dyDescent="0.55000000000000004">
      <c r="B2448" s="30">
        <v>42107</v>
      </c>
      <c r="C2448">
        <v>1815</v>
      </c>
      <c r="L2448" s="30">
        <v>42907</v>
      </c>
      <c r="M2448">
        <v>22675</v>
      </c>
    </row>
    <row r="2449" spans="2:13" x14ac:dyDescent="0.55000000000000004">
      <c r="B2449" s="30">
        <v>42104</v>
      </c>
      <c r="C2449">
        <v>1837</v>
      </c>
      <c r="L2449" s="30">
        <v>42906</v>
      </c>
      <c r="M2449">
        <v>22720</v>
      </c>
    </row>
    <row r="2450" spans="2:13" x14ac:dyDescent="0.55000000000000004">
      <c r="B2450" s="30">
        <v>42103</v>
      </c>
      <c r="C2450">
        <v>1817</v>
      </c>
      <c r="L2450" s="30">
        <v>42905</v>
      </c>
      <c r="M2450">
        <v>22700</v>
      </c>
    </row>
    <row r="2451" spans="2:13" x14ac:dyDescent="0.55000000000000004">
      <c r="B2451" s="30">
        <v>42102</v>
      </c>
      <c r="C2451">
        <v>1817</v>
      </c>
      <c r="L2451" s="30">
        <v>42902</v>
      </c>
      <c r="M2451">
        <v>22685</v>
      </c>
    </row>
    <row r="2452" spans="2:13" x14ac:dyDescent="0.55000000000000004">
      <c r="B2452" s="30">
        <v>42101</v>
      </c>
      <c r="C2452">
        <v>1833</v>
      </c>
      <c r="L2452" s="30">
        <v>42901</v>
      </c>
      <c r="M2452">
        <v>22670</v>
      </c>
    </row>
    <row r="2453" spans="2:13" x14ac:dyDescent="0.55000000000000004">
      <c r="B2453" s="30">
        <v>42100</v>
      </c>
      <c r="C2453">
        <v>1804</v>
      </c>
      <c r="L2453" s="30">
        <v>42900</v>
      </c>
      <c r="M2453">
        <v>22700</v>
      </c>
    </row>
    <row r="2454" spans="2:13" x14ac:dyDescent="0.55000000000000004">
      <c r="B2454" s="30">
        <v>42096</v>
      </c>
      <c r="C2454">
        <v>1804</v>
      </c>
      <c r="L2454" s="30">
        <v>42899</v>
      </c>
      <c r="M2454">
        <v>22690</v>
      </c>
    </row>
    <row r="2455" spans="2:13" x14ac:dyDescent="0.55000000000000004">
      <c r="B2455" s="30">
        <v>42095</v>
      </c>
      <c r="C2455">
        <v>1778</v>
      </c>
      <c r="L2455" s="30">
        <v>42898</v>
      </c>
      <c r="M2455">
        <v>22685</v>
      </c>
    </row>
    <row r="2456" spans="2:13" x14ac:dyDescent="0.55000000000000004">
      <c r="B2456" s="30">
        <v>42094</v>
      </c>
      <c r="C2456">
        <v>1729</v>
      </c>
      <c r="L2456" s="30">
        <v>42895</v>
      </c>
      <c r="M2456">
        <v>22675</v>
      </c>
    </row>
    <row r="2457" spans="2:13" x14ac:dyDescent="0.55000000000000004">
      <c r="B2457" s="30">
        <v>42093</v>
      </c>
      <c r="C2457">
        <v>1722</v>
      </c>
      <c r="L2457" s="30">
        <v>42894</v>
      </c>
      <c r="M2457">
        <v>22685</v>
      </c>
    </row>
    <row r="2458" spans="2:13" x14ac:dyDescent="0.55000000000000004">
      <c r="B2458" s="30">
        <v>42090</v>
      </c>
      <c r="C2458">
        <v>1788</v>
      </c>
      <c r="L2458" s="30">
        <v>42893</v>
      </c>
      <c r="M2458">
        <v>22700</v>
      </c>
    </row>
    <row r="2459" spans="2:13" x14ac:dyDescent="0.55000000000000004">
      <c r="B2459" s="30">
        <v>42089</v>
      </c>
      <c r="C2459">
        <v>1816</v>
      </c>
      <c r="L2459" s="30">
        <v>42892</v>
      </c>
      <c r="M2459">
        <v>22700</v>
      </c>
    </row>
    <row r="2460" spans="2:13" x14ac:dyDescent="0.55000000000000004">
      <c r="B2460" s="30">
        <v>42088</v>
      </c>
      <c r="C2460">
        <v>1816</v>
      </c>
      <c r="L2460" s="30">
        <v>42891</v>
      </c>
      <c r="M2460">
        <v>22700</v>
      </c>
    </row>
    <row r="2461" spans="2:13" x14ac:dyDescent="0.55000000000000004">
      <c r="B2461" s="30">
        <v>42087</v>
      </c>
      <c r="C2461">
        <v>1818</v>
      </c>
      <c r="L2461" s="30">
        <v>42888</v>
      </c>
      <c r="M2461">
        <v>22675</v>
      </c>
    </row>
    <row r="2462" spans="2:13" x14ac:dyDescent="0.55000000000000004">
      <c r="B2462" s="30">
        <v>42086</v>
      </c>
      <c r="C2462">
        <v>1838</v>
      </c>
      <c r="L2462" s="30">
        <v>42887</v>
      </c>
      <c r="M2462">
        <v>22700</v>
      </c>
    </row>
    <row r="2463" spans="2:13" x14ac:dyDescent="0.55000000000000004">
      <c r="B2463" s="30">
        <v>42083</v>
      </c>
      <c r="C2463">
        <v>1820</v>
      </c>
      <c r="L2463" s="30">
        <v>42886</v>
      </c>
      <c r="M2463">
        <v>22710</v>
      </c>
    </row>
    <row r="2464" spans="2:13" x14ac:dyDescent="0.55000000000000004">
      <c r="B2464" s="30">
        <v>42082</v>
      </c>
      <c r="C2464">
        <v>1815</v>
      </c>
      <c r="L2464" s="30">
        <v>42885</v>
      </c>
      <c r="M2464">
        <v>22700</v>
      </c>
    </row>
    <row r="2465" spans="2:13" x14ac:dyDescent="0.55000000000000004">
      <c r="B2465" s="30">
        <v>42081</v>
      </c>
      <c r="C2465">
        <v>1819</v>
      </c>
      <c r="L2465" s="30">
        <v>42884</v>
      </c>
      <c r="M2465">
        <v>22740</v>
      </c>
    </row>
    <row r="2466" spans="2:13" x14ac:dyDescent="0.55000000000000004">
      <c r="B2466" s="30">
        <v>42080</v>
      </c>
      <c r="C2466">
        <v>1778</v>
      </c>
      <c r="L2466" s="30">
        <v>42881</v>
      </c>
      <c r="M2466">
        <v>22675</v>
      </c>
    </row>
    <row r="2467" spans="2:13" x14ac:dyDescent="0.55000000000000004">
      <c r="B2467" s="30">
        <v>42079</v>
      </c>
      <c r="C2467">
        <v>1763</v>
      </c>
      <c r="L2467" s="30">
        <v>42880</v>
      </c>
      <c r="M2467">
        <v>22625</v>
      </c>
    </row>
    <row r="2468" spans="2:13" x14ac:dyDescent="0.55000000000000004">
      <c r="B2468" s="30">
        <v>42076</v>
      </c>
      <c r="C2468">
        <v>1708</v>
      </c>
      <c r="L2468" s="30">
        <v>42879</v>
      </c>
      <c r="M2468">
        <v>22600</v>
      </c>
    </row>
    <row r="2469" spans="2:13" x14ac:dyDescent="0.55000000000000004">
      <c r="B2469" s="30">
        <v>42075</v>
      </c>
      <c r="C2469">
        <v>1768</v>
      </c>
      <c r="L2469" s="30">
        <v>42878</v>
      </c>
      <c r="M2469">
        <v>22675</v>
      </c>
    </row>
    <row r="2470" spans="2:13" x14ac:dyDescent="0.55000000000000004">
      <c r="B2470" s="30">
        <v>42074</v>
      </c>
      <c r="C2470">
        <v>1820</v>
      </c>
      <c r="L2470" s="30">
        <v>42877</v>
      </c>
      <c r="M2470">
        <v>22625</v>
      </c>
    </row>
    <row r="2471" spans="2:13" x14ac:dyDescent="0.55000000000000004">
      <c r="B2471" s="30">
        <v>42073</v>
      </c>
      <c r="C2471">
        <v>1856</v>
      </c>
      <c r="L2471" s="30">
        <v>42874</v>
      </c>
      <c r="M2471">
        <v>22600</v>
      </c>
    </row>
    <row r="2472" spans="2:13" x14ac:dyDescent="0.55000000000000004">
      <c r="B2472" s="30">
        <v>42072</v>
      </c>
      <c r="C2472">
        <v>1871</v>
      </c>
      <c r="L2472" s="30">
        <v>42873</v>
      </c>
      <c r="M2472">
        <v>22680</v>
      </c>
    </row>
    <row r="2473" spans="2:13" x14ac:dyDescent="0.55000000000000004">
      <c r="B2473" s="30">
        <v>42069</v>
      </c>
      <c r="C2473">
        <v>1881</v>
      </c>
      <c r="L2473" s="30">
        <v>42872</v>
      </c>
      <c r="M2473">
        <v>22630</v>
      </c>
    </row>
    <row r="2474" spans="2:13" x14ac:dyDescent="0.55000000000000004">
      <c r="B2474" s="30">
        <v>42068</v>
      </c>
      <c r="C2474">
        <v>1875</v>
      </c>
      <c r="L2474" s="30">
        <v>42871</v>
      </c>
      <c r="M2474">
        <v>22600</v>
      </c>
    </row>
    <row r="2475" spans="2:13" x14ac:dyDescent="0.55000000000000004">
      <c r="B2475" s="30">
        <v>42067</v>
      </c>
      <c r="C2475">
        <v>1856</v>
      </c>
      <c r="L2475" s="30">
        <v>42870</v>
      </c>
      <c r="M2475">
        <v>22678</v>
      </c>
    </row>
    <row r="2476" spans="2:13" x14ac:dyDescent="0.55000000000000004">
      <c r="B2476" s="30">
        <v>42066</v>
      </c>
      <c r="C2476">
        <v>1881</v>
      </c>
      <c r="L2476" s="30">
        <v>42867</v>
      </c>
      <c r="M2476">
        <v>22690</v>
      </c>
    </row>
    <row r="2477" spans="2:13" x14ac:dyDescent="0.55000000000000004">
      <c r="B2477" s="30">
        <v>42065</v>
      </c>
      <c r="C2477">
        <v>1892</v>
      </c>
      <c r="L2477" s="30">
        <v>42866</v>
      </c>
      <c r="M2477">
        <v>22722</v>
      </c>
    </row>
    <row r="2478" spans="2:13" x14ac:dyDescent="0.55000000000000004">
      <c r="B2478" s="30">
        <v>42062</v>
      </c>
      <c r="C2478">
        <v>1907</v>
      </c>
      <c r="L2478" s="30">
        <v>42865</v>
      </c>
      <c r="M2478">
        <v>22738</v>
      </c>
    </row>
    <row r="2479" spans="2:13" x14ac:dyDescent="0.55000000000000004">
      <c r="B2479" s="30">
        <v>42061</v>
      </c>
      <c r="C2479">
        <v>1869</v>
      </c>
      <c r="L2479" s="30">
        <v>42864</v>
      </c>
      <c r="M2479">
        <v>22730</v>
      </c>
    </row>
    <row r="2480" spans="2:13" x14ac:dyDescent="0.55000000000000004">
      <c r="B2480" s="30">
        <v>42060</v>
      </c>
      <c r="C2480">
        <v>1886</v>
      </c>
      <c r="L2480" s="30">
        <v>42863</v>
      </c>
      <c r="M2480">
        <v>22690</v>
      </c>
    </row>
    <row r="2481" spans="2:13" x14ac:dyDescent="0.55000000000000004">
      <c r="B2481" s="30">
        <v>42059</v>
      </c>
      <c r="C2481">
        <v>1918</v>
      </c>
      <c r="L2481" s="30">
        <v>42860</v>
      </c>
      <c r="M2481">
        <v>22730</v>
      </c>
    </row>
    <row r="2482" spans="2:13" x14ac:dyDescent="0.55000000000000004">
      <c r="B2482" s="30">
        <v>42058</v>
      </c>
      <c r="C2482">
        <v>1948</v>
      </c>
      <c r="L2482" s="30">
        <v>42859</v>
      </c>
      <c r="M2482">
        <v>22740</v>
      </c>
    </row>
    <row r="2483" spans="2:13" x14ac:dyDescent="0.55000000000000004">
      <c r="B2483" s="30">
        <v>42055</v>
      </c>
      <c r="C2483">
        <v>1974</v>
      </c>
      <c r="L2483" s="30">
        <v>42858</v>
      </c>
      <c r="M2483">
        <v>22740</v>
      </c>
    </row>
    <row r="2484" spans="2:13" x14ac:dyDescent="0.55000000000000004">
      <c r="B2484" s="30">
        <v>42054</v>
      </c>
      <c r="C2484">
        <v>1990</v>
      </c>
      <c r="L2484" s="30">
        <v>42857</v>
      </c>
      <c r="M2484">
        <v>22700</v>
      </c>
    </row>
    <row r="2485" spans="2:13" x14ac:dyDescent="0.55000000000000004">
      <c r="B2485" s="30">
        <v>42053</v>
      </c>
      <c r="C2485">
        <v>2009</v>
      </c>
      <c r="L2485" s="30">
        <v>42856</v>
      </c>
      <c r="M2485">
        <v>22700</v>
      </c>
    </row>
    <row r="2486" spans="2:13" x14ac:dyDescent="0.55000000000000004">
      <c r="B2486" s="30">
        <v>42052</v>
      </c>
      <c r="C2486">
        <v>2020</v>
      </c>
      <c r="L2486" s="30">
        <v>42853</v>
      </c>
      <c r="M2486">
        <v>22740</v>
      </c>
    </row>
    <row r="2487" spans="2:13" x14ac:dyDescent="0.55000000000000004">
      <c r="B2487" s="30">
        <v>42051</v>
      </c>
      <c r="C2487">
        <v>2066</v>
      </c>
      <c r="L2487" s="30">
        <v>42852</v>
      </c>
      <c r="M2487">
        <v>22730</v>
      </c>
    </row>
    <row r="2488" spans="2:13" x14ac:dyDescent="0.55000000000000004">
      <c r="B2488" s="30">
        <v>42048</v>
      </c>
      <c r="C2488">
        <v>2036</v>
      </c>
      <c r="L2488" s="30">
        <v>42851</v>
      </c>
      <c r="M2488">
        <v>22710</v>
      </c>
    </row>
    <row r="2489" spans="2:13" x14ac:dyDescent="0.55000000000000004">
      <c r="B2489" s="30">
        <v>42047</v>
      </c>
      <c r="C2489">
        <v>2020</v>
      </c>
      <c r="L2489" s="30">
        <v>42850</v>
      </c>
      <c r="M2489">
        <v>22760</v>
      </c>
    </row>
    <row r="2490" spans="2:13" x14ac:dyDescent="0.55000000000000004">
      <c r="B2490" s="30">
        <v>42046</v>
      </c>
      <c r="C2490">
        <v>1974</v>
      </c>
      <c r="L2490" s="30">
        <v>42849</v>
      </c>
      <c r="M2490">
        <v>22715</v>
      </c>
    </row>
    <row r="2491" spans="2:13" x14ac:dyDescent="0.55000000000000004">
      <c r="B2491" s="30">
        <v>42045</v>
      </c>
      <c r="C2491">
        <v>1971</v>
      </c>
      <c r="L2491" s="30">
        <v>42846</v>
      </c>
      <c r="M2491">
        <v>22650</v>
      </c>
    </row>
    <row r="2492" spans="2:13" x14ac:dyDescent="0.55000000000000004">
      <c r="B2492" s="30">
        <v>42044</v>
      </c>
      <c r="C2492">
        <v>1977</v>
      </c>
      <c r="L2492" s="30">
        <v>42845</v>
      </c>
      <c r="M2492">
        <v>22690</v>
      </c>
    </row>
    <row r="2493" spans="2:13" x14ac:dyDescent="0.55000000000000004">
      <c r="B2493" s="30">
        <v>42041</v>
      </c>
      <c r="C2493">
        <v>1965</v>
      </c>
      <c r="L2493" s="30">
        <v>42844</v>
      </c>
      <c r="M2493">
        <v>22734</v>
      </c>
    </row>
    <row r="2494" spans="2:13" x14ac:dyDescent="0.55000000000000004">
      <c r="B2494" s="30">
        <v>42040</v>
      </c>
      <c r="C2494">
        <v>1954</v>
      </c>
      <c r="L2494" s="30">
        <v>42843</v>
      </c>
      <c r="M2494">
        <v>22650</v>
      </c>
    </row>
    <row r="2495" spans="2:13" x14ac:dyDescent="0.55000000000000004">
      <c r="B2495" s="30">
        <v>42039</v>
      </c>
      <c r="C2495">
        <v>1961</v>
      </c>
      <c r="L2495" s="30">
        <v>42842</v>
      </c>
      <c r="M2495">
        <v>22670</v>
      </c>
    </row>
    <row r="2496" spans="2:13" x14ac:dyDescent="0.55000000000000004">
      <c r="B2496" s="30">
        <v>42038</v>
      </c>
      <c r="C2496">
        <v>1939</v>
      </c>
      <c r="L2496" s="30">
        <v>42839</v>
      </c>
      <c r="M2496">
        <v>22750</v>
      </c>
    </row>
    <row r="2497" spans="2:13" x14ac:dyDescent="0.55000000000000004">
      <c r="B2497" s="30">
        <v>42037</v>
      </c>
      <c r="C2497">
        <v>1948</v>
      </c>
      <c r="L2497" s="30">
        <v>42838</v>
      </c>
      <c r="M2497">
        <v>22590</v>
      </c>
    </row>
    <row r="2498" spans="2:13" x14ac:dyDescent="0.55000000000000004">
      <c r="B2498" s="30">
        <v>42034</v>
      </c>
      <c r="C2498">
        <v>1925</v>
      </c>
      <c r="L2498" s="30">
        <v>42837</v>
      </c>
      <c r="M2498">
        <v>22670</v>
      </c>
    </row>
    <row r="2499" spans="2:13" x14ac:dyDescent="0.55000000000000004">
      <c r="B2499" s="30">
        <v>42033</v>
      </c>
      <c r="C2499">
        <v>1944</v>
      </c>
      <c r="L2499" s="30">
        <v>42836</v>
      </c>
      <c r="M2499">
        <v>22653</v>
      </c>
    </row>
    <row r="2500" spans="2:13" x14ac:dyDescent="0.55000000000000004">
      <c r="B2500" s="30">
        <v>42032</v>
      </c>
      <c r="C2500">
        <v>1984</v>
      </c>
      <c r="L2500" s="30">
        <v>42835</v>
      </c>
      <c r="M2500">
        <v>22595</v>
      </c>
    </row>
    <row r="2501" spans="2:13" x14ac:dyDescent="0.55000000000000004">
      <c r="B2501" s="30">
        <v>42031</v>
      </c>
      <c r="C2501">
        <v>1987</v>
      </c>
      <c r="L2501" s="30">
        <v>42832</v>
      </c>
      <c r="M2501">
        <v>22605</v>
      </c>
    </row>
    <row r="2502" spans="2:13" x14ac:dyDescent="0.55000000000000004">
      <c r="B2502" s="30">
        <v>42030</v>
      </c>
      <c r="C2502">
        <v>1952</v>
      </c>
      <c r="L2502" s="30">
        <v>42831</v>
      </c>
      <c r="M2502">
        <v>22640</v>
      </c>
    </row>
    <row r="2503" spans="2:13" x14ac:dyDescent="0.55000000000000004">
      <c r="B2503" s="30">
        <v>42027</v>
      </c>
      <c r="C2503">
        <v>1931</v>
      </c>
      <c r="L2503" s="30">
        <v>42830</v>
      </c>
      <c r="M2503">
        <v>22680</v>
      </c>
    </row>
    <row r="2504" spans="2:13" x14ac:dyDescent="0.55000000000000004">
      <c r="B2504" s="30">
        <v>42026</v>
      </c>
      <c r="C2504">
        <v>1941</v>
      </c>
      <c r="L2504" s="30">
        <v>42829</v>
      </c>
      <c r="M2504">
        <v>22690</v>
      </c>
    </row>
    <row r="2505" spans="2:13" x14ac:dyDescent="0.55000000000000004">
      <c r="B2505" s="30">
        <v>42025</v>
      </c>
      <c r="C2505">
        <v>1947</v>
      </c>
      <c r="L2505" s="30">
        <v>42828</v>
      </c>
      <c r="M2505">
        <v>22730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5F65-06BA-43BA-B06A-1A416D9E8061}">
  <sheetPr codeName="Sheet4"/>
  <dimension ref="A1:S395"/>
  <sheetViews>
    <sheetView showGridLines="0" tabSelected="1" zoomScale="70" zoomScaleNormal="70" workbookViewId="0">
      <selection activeCell="I19" sqref="I19"/>
    </sheetView>
  </sheetViews>
  <sheetFormatPr defaultColWidth="8.83984375" defaultRowHeight="14.4" x14ac:dyDescent="0.55000000000000004"/>
  <cols>
    <col min="1" max="1" width="12" style="34" customWidth="1"/>
    <col min="2" max="4" width="8.83984375" style="29"/>
    <col min="5" max="5" width="10.41796875" style="29" customWidth="1"/>
    <col min="6" max="6" width="15.26171875" style="29" customWidth="1"/>
    <col min="7" max="7" width="19.41796875" style="29" customWidth="1"/>
    <col min="8" max="8" width="14.83984375" style="29" customWidth="1"/>
    <col min="9" max="9" width="12.68359375" style="29" customWidth="1"/>
    <col min="10" max="17" width="8.83984375" style="29"/>
    <col min="18" max="18" width="10.578125" style="29" customWidth="1"/>
    <col min="19" max="19" width="10.15625" style="29" bestFit="1" customWidth="1"/>
    <col min="20" max="16384" width="8.83984375" style="29"/>
  </cols>
  <sheetData>
    <row r="1" spans="1:19" s="32" customFormat="1" ht="21" customHeight="1" x14ac:dyDescent="0.55000000000000004">
      <c r="A1" s="35" t="s">
        <v>51</v>
      </c>
      <c r="B1" s="35" t="s">
        <v>38</v>
      </c>
      <c r="C1" s="35" t="s">
        <v>52</v>
      </c>
      <c r="D1" s="35" t="s">
        <v>29</v>
      </c>
      <c r="E1" s="35" t="s">
        <v>53</v>
      </c>
      <c r="F1" s="35" t="s">
        <v>54</v>
      </c>
      <c r="G1" s="36" t="s">
        <v>55</v>
      </c>
      <c r="H1" s="37" t="s">
        <v>42</v>
      </c>
      <c r="I1" s="32" t="s">
        <v>57</v>
      </c>
    </row>
    <row r="2" spans="1:19" x14ac:dyDescent="0.55000000000000004">
      <c r="A2" s="33">
        <f>'Historical backend'!G6</f>
        <v>46317</v>
      </c>
      <c r="B2" s="29">
        <v>-150</v>
      </c>
      <c r="C2" s="29">
        <f>_xlfn.XLOOKUP(A2,'Historical backend'!B:B,'Historical backend'!C:C,_xlfn.XLOOKUP(A3,'Historical backend'!B:B,'Historical backend'!C:C))</f>
        <v>3301</v>
      </c>
      <c r="D2" s="29">
        <f>_xlfn.XLOOKUP(A2,'Historical backend'!L:L,'Historical backend'!M:M)</f>
        <v>25848</v>
      </c>
      <c r="E2" s="29">
        <f>C2+B2</f>
        <v>3151</v>
      </c>
      <c r="F2" s="42">
        <f>E2*D2/1000</f>
        <v>81447.047999999995</v>
      </c>
      <c r="G2" s="42">
        <f>(E2-$R$2)*D2/1000</f>
        <v>80671.607999999993</v>
      </c>
      <c r="H2" s="38">
        <f>($R$4-G2)/D2*1000</f>
        <v>941.20984215413216</v>
      </c>
      <c r="I2" s="42">
        <f t="shared" ref="I2:I65" si="0">AVERAGE(G2:G5)-$R$6</f>
        <v>53713.778749999998</v>
      </c>
      <c r="P2" s="43" t="s">
        <v>44</v>
      </c>
      <c r="Q2" s="43"/>
      <c r="R2" s="19">
        <v>30</v>
      </c>
      <c r="S2" s="27" t="s">
        <v>43</v>
      </c>
    </row>
    <row r="3" spans="1:19" x14ac:dyDescent="0.55000000000000004">
      <c r="A3" s="33">
        <f>'Historical backend'!G7</f>
        <v>46310</v>
      </c>
      <c r="B3" s="29">
        <f>'Historical backend'!H7</f>
        <v>200</v>
      </c>
      <c r="C3" s="29">
        <f>_xlfn.XLOOKUP(A3,'Historical backend'!B:B,'Historical backend'!C:C,_xlfn.XLOOKUP(A4,'Historical backend'!B:B,'Historical backend'!C:C))</f>
        <v>3364</v>
      </c>
      <c r="D3" s="29">
        <f>_xlfn.XLOOKUP(A3,'Historical backend'!L:L,'Historical backend'!M:M)</f>
        <v>25872</v>
      </c>
      <c r="E3" s="29">
        <f t="shared" ref="E3:E66" si="1">C3+B3</f>
        <v>3564</v>
      </c>
      <c r="F3" s="42">
        <f t="shared" ref="F3:F66" si="2">E3*D3/1000</f>
        <v>92207.808000000005</v>
      </c>
      <c r="G3" s="42">
        <f t="shared" ref="G3:G66" si="3">(E3-$R$2)*D3/1000</f>
        <v>91431.648000000001</v>
      </c>
      <c r="H3" s="38">
        <f t="shared" ref="H3:H66" si="4">($R$4-G3)/D3*1000</f>
        <v>524.44155844155841</v>
      </c>
      <c r="I3" s="42">
        <f t="shared" si="0"/>
        <v>56287.126749999996</v>
      </c>
      <c r="P3" s="17"/>
      <c r="Q3" s="17"/>
      <c r="R3" s="17"/>
      <c r="S3" s="28"/>
    </row>
    <row r="4" spans="1:19" x14ac:dyDescent="0.55000000000000004">
      <c r="A4" s="33">
        <f>'Historical backend'!G8</f>
        <v>46303</v>
      </c>
      <c r="B4" s="29">
        <f>'Historical backend'!H8</f>
        <v>220</v>
      </c>
      <c r="C4" s="29">
        <f>_xlfn.XLOOKUP(A4,'Historical backend'!B:B,'Historical backend'!C:C,_xlfn.XLOOKUP(A5,'Historical backend'!B:B,'Historical backend'!C:C))</f>
        <v>3398</v>
      </c>
      <c r="D4" s="29">
        <f>_xlfn.XLOOKUP(A4,'Historical backend'!L:L,'Historical backend'!M:M)</f>
        <v>25889</v>
      </c>
      <c r="E4" s="29">
        <f t="shared" si="1"/>
        <v>3618</v>
      </c>
      <c r="F4" s="42">
        <f t="shared" si="2"/>
        <v>93666.402000000002</v>
      </c>
      <c r="G4" s="42">
        <f>(E4-$R$2)*D4/1000</f>
        <v>92889.732000000004</v>
      </c>
      <c r="H4" s="38">
        <f t="shared" si="4"/>
        <v>467.77658464985115</v>
      </c>
      <c r="I4" s="42">
        <f t="shared" si="0"/>
        <v>56713.771999999997</v>
      </c>
      <c r="P4" s="43" t="s">
        <v>45</v>
      </c>
      <c r="Q4" s="43"/>
      <c r="R4" s="41">
        <v>105000</v>
      </c>
      <c r="S4" s="27" t="s">
        <v>46</v>
      </c>
    </row>
    <row r="5" spans="1:19" x14ac:dyDescent="0.55000000000000004">
      <c r="A5" s="33">
        <f>'Historical backend'!G9</f>
        <v>46296</v>
      </c>
      <c r="B5" s="29">
        <f>'Historical backend'!H9</f>
        <v>240</v>
      </c>
      <c r="C5" s="29">
        <f>_xlfn.XLOOKUP(A5,'Historical backend'!B:B,'Historical backend'!C:C,_xlfn.XLOOKUP(A6,'Historical backend'!B:B,'Historical backend'!C:C))</f>
        <v>3403</v>
      </c>
      <c r="D5" s="29">
        <f>_xlfn.XLOOKUP(A5,'Historical backend'!L:L,'Historical backend'!M:M)</f>
        <v>25979</v>
      </c>
      <c r="E5" s="29">
        <f t="shared" si="1"/>
        <v>3643</v>
      </c>
      <c r="F5" s="42">
        <f t="shared" si="2"/>
        <v>94641.497000000003</v>
      </c>
      <c r="G5" s="42">
        <f>(E5-$R$2)*D5/1000</f>
        <v>93862.126999999993</v>
      </c>
      <c r="H5" s="38">
        <f t="shared" si="4"/>
        <v>428.72600946918692</v>
      </c>
      <c r="I5" s="42">
        <f t="shared" si="0"/>
        <v>57623.789999999994</v>
      </c>
    </row>
    <row r="6" spans="1:19" x14ac:dyDescent="0.55000000000000004">
      <c r="A6" s="33">
        <f>'Historical backend'!G10</f>
        <v>46289</v>
      </c>
      <c r="B6" s="29">
        <f>'Historical backend'!H10</f>
        <v>240</v>
      </c>
      <c r="C6" s="29">
        <f>_xlfn.XLOOKUP(A6,'Historical backend'!B:B,'Historical backend'!C:C,_xlfn.XLOOKUP(A7,'Historical backend'!B:B,'Historical backend'!C:C))</f>
        <v>3290</v>
      </c>
      <c r="D6" s="29">
        <f>_xlfn.XLOOKUP(A6,'Historical backend'!L:L,'Historical backend'!M:M)</f>
        <v>25990</v>
      </c>
      <c r="E6" s="29">
        <f t="shared" si="1"/>
        <v>3530</v>
      </c>
      <c r="F6" s="42">
        <f t="shared" si="2"/>
        <v>91744.7</v>
      </c>
      <c r="G6" s="42">
        <f t="shared" si="3"/>
        <v>90965</v>
      </c>
      <c r="H6" s="38">
        <f t="shared" si="4"/>
        <v>540.01539053482111</v>
      </c>
      <c r="I6" s="42">
        <f t="shared" si="0"/>
        <v>57256.278250000003</v>
      </c>
      <c r="P6" s="43" t="s">
        <v>56</v>
      </c>
      <c r="Q6" s="43"/>
      <c r="R6" s="41">
        <v>36000</v>
      </c>
      <c r="S6" s="29" t="s">
        <v>29</v>
      </c>
    </row>
    <row r="7" spans="1:19" x14ac:dyDescent="0.55000000000000004">
      <c r="A7" s="33">
        <f>'Historical backend'!G11</f>
        <v>46282</v>
      </c>
      <c r="B7" s="29">
        <f>'Historical backend'!H11</f>
        <v>220</v>
      </c>
      <c r="C7" s="29">
        <f>_xlfn.XLOOKUP(A7,'Historical backend'!B:B,'Historical backend'!C:C,_xlfn.XLOOKUP(A8,'Historical backend'!B:B,'Historical backend'!C:C))</f>
        <v>3391</v>
      </c>
      <c r="D7" s="29">
        <f>_xlfn.XLOOKUP(A7,'Historical backend'!L:L,'Historical backend'!M:M)</f>
        <v>26009</v>
      </c>
      <c r="E7" s="29">
        <f t="shared" si="1"/>
        <v>3611</v>
      </c>
      <c r="F7" s="42">
        <f t="shared" si="2"/>
        <v>93918.498999999996</v>
      </c>
      <c r="G7" s="42">
        <f t="shared" si="3"/>
        <v>93138.229000000007</v>
      </c>
      <c r="H7" s="38">
        <f t="shared" si="4"/>
        <v>456.06409319850792</v>
      </c>
      <c r="I7" s="42">
        <f t="shared" si="0"/>
        <v>58928.683250000002</v>
      </c>
    </row>
    <row r="8" spans="1:19" x14ac:dyDescent="0.55000000000000004">
      <c r="A8" s="33">
        <f>'Historical backend'!G12</f>
        <v>46275</v>
      </c>
      <c r="B8" s="29">
        <f>'Historical backend'!H12</f>
        <v>200</v>
      </c>
      <c r="C8" s="29">
        <f>_xlfn.XLOOKUP(A8,'Historical backend'!B:B,'Historical backend'!C:C,_xlfn.XLOOKUP(A9,'Historical backend'!B:B,'Historical backend'!C:C))</f>
        <v>3554</v>
      </c>
      <c r="D8" s="29">
        <f>_xlfn.XLOOKUP(A8,'Historical backend'!L:L,'Historical backend'!M:M)</f>
        <v>25921</v>
      </c>
      <c r="E8" s="29">
        <f t="shared" si="1"/>
        <v>3754</v>
      </c>
      <c r="F8" s="42">
        <f t="shared" si="2"/>
        <v>97307.433999999994</v>
      </c>
      <c r="G8" s="42">
        <f t="shared" si="3"/>
        <v>96529.804000000004</v>
      </c>
      <c r="H8" s="38">
        <f t="shared" si="4"/>
        <v>326.76964623278411</v>
      </c>
      <c r="I8" s="42">
        <f t="shared" si="0"/>
        <v>61064.551999999996</v>
      </c>
    </row>
    <row r="9" spans="1:19" x14ac:dyDescent="0.55000000000000004">
      <c r="A9" s="33">
        <f>'Historical backend'!G13</f>
        <v>46268</v>
      </c>
      <c r="B9" s="29">
        <f>'Historical backend'!H13</f>
        <v>200</v>
      </c>
      <c r="C9" s="29">
        <f>_xlfn.XLOOKUP(A9,'Historical backend'!B:B,'Historical backend'!C:C,_xlfn.XLOOKUP(A10,'Historical backend'!B:B,'Historical backend'!C:C))</f>
        <v>3374</v>
      </c>
      <c r="D9" s="29">
        <f>_xlfn.XLOOKUP(A9,'Historical backend'!L:L,'Historical backend'!M:M)</f>
        <v>26070</v>
      </c>
      <c r="E9" s="29">
        <f t="shared" si="1"/>
        <v>3574</v>
      </c>
      <c r="F9" s="42">
        <f t="shared" si="2"/>
        <v>93174.18</v>
      </c>
      <c r="G9" s="42">
        <f t="shared" si="3"/>
        <v>92392.08</v>
      </c>
      <c r="H9" s="38">
        <f t="shared" si="4"/>
        <v>483.61795166858451</v>
      </c>
      <c r="I9" s="42">
        <f t="shared" si="0"/>
        <v>61789.84599999999</v>
      </c>
    </row>
    <row r="10" spans="1:19" x14ac:dyDescent="0.55000000000000004">
      <c r="A10" s="33">
        <f>'Historical backend'!G14</f>
        <v>46261</v>
      </c>
      <c r="B10" s="29">
        <f>'Historical backend'!H14</f>
        <v>220</v>
      </c>
      <c r="C10" s="29">
        <f>_xlfn.XLOOKUP(A10,'Historical backend'!B:B,'Historical backend'!C:C,_xlfn.XLOOKUP(A11,'Historical backend'!B:B,'Historical backend'!C:C))</f>
        <v>3555</v>
      </c>
      <c r="D10" s="29">
        <f>_xlfn.XLOOKUP(A10,'Historical backend'!L:L,'Historical backend'!M:M)</f>
        <v>26076</v>
      </c>
      <c r="E10" s="29">
        <f t="shared" si="1"/>
        <v>3775</v>
      </c>
      <c r="F10" s="42">
        <f t="shared" si="2"/>
        <v>98436.9</v>
      </c>
      <c r="G10" s="42">
        <f t="shared" si="3"/>
        <v>97654.62</v>
      </c>
      <c r="H10" s="38">
        <f t="shared" si="4"/>
        <v>281.69121030832969</v>
      </c>
      <c r="I10" s="42">
        <f t="shared" si="0"/>
        <v>64512.640500000009</v>
      </c>
    </row>
    <row r="11" spans="1:19" x14ac:dyDescent="0.55000000000000004">
      <c r="A11" s="33">
        <f>'Historical backend'!G15</f>
        <v>46254</v>
      </c>
      <c r="B11" s="29">
        <f>'Historical backend'!H15</f>
        <v>200</v>
      </c>
      <c r="C11" s="29">
        <f>_xlfn.XLOOKUP(A11,'Historical backend'!B:B,'Historical backend'!C:C,_xlfn.XLOOKUP(A12,'Historical backend'!B:B,'Historical backend'!C:C))</f>
        <v>3726</v>
      </c>
      <c r="D11" s="29">
        <f>_xlfn.XLOOKUP(A11,'Historical backend'!L:L,'Historical backend'!M:M)</f>
        <v>26099</v>
      </c>
      <c r="E11" s="29">
        <f t="shared" si="1"/>
        <v>3926</v>
      </c>
      <c r="F11" s="42">
        <f t="shared" si="2"/>
        <v>102464.674</v>
      </c>
      <c r="G11" s="42">
        <f t="shared" si="3"/>
        <v>101681.704</v>
      </c>
      <c r="H11" s="38">
        <f t="shared" si="4"/>
        <v>127.14264914364543</v>
      </c>
      <c r="I11" s="42">
        <f t="shared" si="0"/>
        <v>65793.277750000008</v>
      </c>
    </row>
    <row r="12" spans="1:19" x14ac:dyDescent="0.55000000000000004">
      <c r="A12" s="33">
        <f>'Historical backend'!G16</f>
        <v>46247</v>
      </c>
      <c r="B12" s="29">
        <f>'Historical backend'!H16</f>
        <v>200</v>
      </c>
      <c r="C12" s="29">
        <f>_xlfn.XLOOKUP(A12,'Historical backend'!B:B,'Historical backend'!C:C,_xlfn.XLOOKUP(A13,'Historical backend'!B:B,'Historical backend'!C:C))</f>
        <v>3644</v>
      </c>
      <c r="D12" s="29">
        <f>_xlfn.XLOOKUP(A12,'Historical backend'!L:L,'Historical backend'!M:M)</f>
        <v>26070</v>
      </c>
      <c r="E12" s="29">
        <f t="shared" si="1"/>
        <v>3844</v>
      </c>
      <c r="F12" s="42">
        <f t="shared" si="2"/>
        <v>100213.08</v>
      </c>
      <c r="G12" s="42">
        <f t="shared" si="3"/>
        <v>99430.98</v>
      </c>
      <c r="H12" s="38">
        <f t="shared" si="4"/>
        <v>213.61795166858474</v>
      </c>
      <c r="I12" s="42">
        <f t="shared" si="0"/>
        <v>65752.704750000004</v>
      </c>
    </row>
    <row r="13" spans="1:19" x14ac:dyDescent="0.55000000000000004">
      <c r="A13" s="33">
        <f>'Historical backend'!G17</f>
        <v>46240</v>
      </c>
      <c r="B13" s="29">
        <f>'Historical backend'!H17</f>
        <v>180</v>
      </c>
      <c r="C13" s="29">
        <f>_xlfn.XLOOKUP(A13,'Historical backend'!B:B,'Historical backend'!C:C,_xlfn.XLOOKUP(A14,'Historical backend'!B:B,'Historical backend'!C:C))</f>
        <v>3787</v>
      </c>
      <c r="D13" s="29">
        <f>_xlfn.XLOOKUP(A13,'Historical backend'!L:L,'Historical backend'!M:M)</f>
        <v>26234</v>
      </c>
      <c r="E13" s="29">
        <f t="shared" si="1"/>
        <v>3967</v>
      </c>
      <c r="F13" s="42">
        <f t="shared" si="2"/>
        <v>104070.27800000001</v>
      </c>
      <c r="G13" s="42">
        <f t="shared" si="3"/>
        <v>103283.258</v>
      </c>
      <c r="H13" s="38">
        <f t="shared" si="4"/>
        <v>65.439582221544498</v>
      </c>
      <c r="I13" s="42">
        <f t="shared" si="0"/>
        <v>66929.388999999996</v>
      </c>
    </row>
    <row r="14" spans="1:19" x14ac:dyDescent="0.55000000000000004">
      <c r="A14" s="33">
        <f>'Historical backend'!G18</f>
        <v>46233</v>
      </c>
      <c r="B14" s="29">
        <f>'Historical backend'!H18</f>
        <v>180</v>
      </c>
      <c r="C14" s="29">
        <f>_xlfn.XLOOKUP(A14,'Historical backend'!B:B,'Historical backend'!C:C,_xlfn.XLOOKUP(A15,'Historical backend'!B:B,'Historical backend'!C:C))</f>
        <v>3761</v>
      </c>
      <c r="D14" s="29">
        <f>_xlfn.XLOOKUP(A14,'Historical backend'!L:L,'Historical backend'!M:M)</f>
        <v>26279</v>
      </c>
      <c r="E14" s="29">
        <f t="shared" si="1"/>
        <v>3941</v>
      </c>
      <c r="F14" s="42">
        <f t="shared" si="2"/>
        <v>103565.539</v>
      </c>
      <c r="G14" s="42">
        <f t="shared" si="3"/>
        <v>102777.16899999999</v>
      </c>
      <c r="H14" s="38">
        <f t="shared" si="4"/>
        <v>84.585828988926735</v>
      </c>
      <c r="I14" s="42">
        <f t="shared" si="0"/>
        <v>68732.792000000001</v>
      </c>
    </row>
    <row r="15" spans="1:19" x14ac:dyDescent="0.55000000000000004">
      <c r="A15" s="33">
        <f>'Historical backend'!G19</f>
        <v>46226</v>
      </c>
      <c r="B15" s="29">
        <f>'Historical backend'!H19</f>
        <v>180</v>
      </c>
      <c r="C15" s="29">
        <f>_xlfn.XLOOKUP(A15,'Historical backend'!B:B,'Historical backend'!C:C,_xlfn.XLOOKUP(A16,'Historical backend'!B:B,'Historical backend'!C:C))</f>
        <v>3708</v>
      </c>
      <c r="D15" s="29">
        <f>_xlfn.XLOOKUP(A15,'Historical backend'!L:L,'Historical backend'!M:M)</f>
        <v>26314</v>
      </c>
      <c r="E15" s="29">
        <f t="shared" si="1"/>
        <v>3888</v>
      </c>
      <c r="F15" s="42">
        <f t="shared" si="2"/>
        <v>102308.83199999999</v>
      </c>
      <c r="G15" s="42">
        <f t="shared" si="3"/>
        <v>101519.412</v>
      </c>
      <c r="H15" s="38">
        <f t="shared" si="4"/>
        <v>132.2713384510148</v>
      </c>
      <c r="I15" s="42">
        <f t="shared" si="0"/>
        <v>69014.650999999998</v>
      </c>
    </row>
    <row r="16" spans="1:19" x14ac:dyDescent="0.55000000000000004">
      <c r="A16" s="33">
        <f>'Historical backend'!G20</f>
        <v>46219</v>
      </c>
      <c r="B16" s="29">
        <f>'Historical backend'!H20</f>
        <v>200</v>
      </c>
      <c r="C16" s="29">
        <f>_xlfn.XLOOKUP(A16,'Historical backend'!B:B,'Historical backend'!C:C,_xlfn.XLOOKUP(A17,'Historical backend'!B:B,'Historical backend'!C:C))</f>
        <v>3797</v>
      </c>
      <c r="D16" s="29">
        <f>_xlfn.XLOOKUP(A16,'Historical backend'!L:L,'Historical backend'!M:M)</f>
        <v>26251</v>
      </c>
      <c r="E16" s="29">
        <f t="shared" si="1"/>
        <v>3997</v>
      </c>
      <c r="F16" s="42">
        <f t="shared" si="2"/>
        <v>104925.247</v>
      </c>
      <c r="G16" s="42">
        <f t="shared" si="3"/>
        <v>104137.717</v>
      </c>
      <c r="H16" s="38">
        <f t="shared" si="4"/>
        <v>32.847624852386417</v>
      </c>
      <c r="I16" s="42">
        <f t="shared" si="0"/>
        <v>69107.717999999993</v>
      </c>
    </row>
    <row r="17" spans="1:9" x14ac:dyDescent="0.55000000000000004">
      <c r="A17" s="33">
        <f>'Historical backend'!G21</f>
        <v>46212</v>
      </c>
      <c r="B17" s="29">
        <f>'Historical backend'!H21</f>
        <v>190</v>
      </c>
      <c r="C17" s="29">
        <f>_xlfn.XLOOKUP(A17,'Historical backend'!B:B,'Historical backend'!C:C,_xlfn.XLOOKUP(A18,'Historical backend'!B:B,'Historical backend'!C:C))</f>
        <v>4043</v>
      </c>
      <c r="D17" s="29">
        <f>_xlfn.XLOOKUP(A17,'Historical backend'!L:L,'Historical backend'!M:M)</f>
        <v>26290</v>
      </c>
      <c r="E17" s="29">
        <f t="shared" si="1"/>
        <v>4233</v>
      </c>
      <c r="F17" s="42">
        <f t="shared" si="2"/>
        <v>111285.57</v>
      </c>
      <c r="G17" s="42">
        <f t="shared" si="3"/>
        <v>110496.87</v>
      </c>
      <c r="H17" s="38">
        <f t="shared" si="4"/>
        <v>-209.08596424495988</v>
      </c>
      <c r="I17" s="42">
        <f t="shared" si="0"/>
        <v>68285.921249999985</v>
      </c>
    </row>
    <row r="18" spans="1:9" x14ac:dyDescent="0.55000000000000004">
      <c r="A18" s="33">
        <f>'Historical backend'!G22</f>
        <v>46205</v>
      </c>
      <c r="B18" s="29">
        <f>'Historical backend'!H22</f>
        <v>200</v>
      </c>
      <c r="C18" s="29">
        <f>_xlfn.XLOOKUP(A18,'Historical backend'!B:B,'Historical backend'!C:C,_xlfn.XLOOKUP(A19,'Historical backend'!B:B,'Historical backend'!C:C))</f>
        <v>3783</v>
      </c>
      <c r="D18" s="29">
        <f>_xlfn.XLOOKUP(A18,'Historical backend'!L:L,'Historical backend'!M:M)</f>
        <v>26285</v>
      </c>
      <c r="E18" s="29">
        <f t="shared" si="1"/>
        <v>3983</v>
      </c>
      <c r="F18" s="42">
        <f t="shared" si="2"/>
        <v>104693.155</v>
      </c>
      <c r="G18" s="42">
        <f t="shared" si="3"/>
        <v>103904.605</v>
      </c>
      <c r="H18" s="38">
        <f t="shared" si="4"/>
        <v>41.673768308921595</v>
      </c>
      <c r="I18" s="42">
        <f t="shared" si="0"/>
        <v>64518.734999999986</v>
      </c>
    </row>
    <row r="19" spans="1:9" x14ac:dyDescent="0.55000000000000004">
      <c r="A19" s="33">
        <f>'Historical backend'!G23</f>
        <v>46198</v>
      </c>
      <c r="B19" s="29">
        <f>'Historical backend'!H23</f>
        <v>240</v>
      </c>
      <c r="C19" s="29">
        <f>_xlfn.XLOOKUP(A19,'Historical backend'!B:B,'Historical backend'!C:C,_xlfn.XLOOKUP(A20,'Historical backend'!B:B,'Historical backend'!C:C))</f>
        <v>3662</v>
      </c>
      <c r="D19" s="29">
        <f>_xlfn.XLOOKUP(A19,'Historical backend'!L:L,'Historical backend'!M:M)</f>
        <v>26315</v>
      </c>
      <c r="E19" s="29">
        <f t="shared" si="1"/>
        <v>3902</v>
      </c>
      <c r="F19" s="42">
        <f t="shared" si="2"/>
        <v>102681.13</v>
      </c>
      <c r="G19" s="42">
        <f t="shared" si="3"/>
        <v>101891.68</v>
      </c>
      <c r="H19" s="38">
        <f t="shared" si="4"/>
        <v>118.11970359110801</v>
      </c>
      <c r="I19" s="42">
        <f t="shared" si="0"/>
        <v>61664.583749999991</v>
      </c>
    </row>
    <row r="20" spans="1:9" x14ac:dyDescent="0.55000000000000004">
      <c r="A20" s="33">
        <f>'Historical backend'!G24</f>
        <v>46191</v>
      </c>
      <c r="B20" s="29">
        <f>'Historical backend'!H24</f>
        <v>240</v>
      </c>
      <c r="C20" s="29">
        <f>_xlfn.XLOOKUP(A20,'Historical backend'!B:B,'Historical backend'!C:C,_xlfn.XLOOKUP(A21,'Historical backend'!B:B,'Historical backend'!C:C))</f>
        <v>3629</v>
      </c>
      <c r="D20" s="29">
        <f>_xlfn.XLOOKUP(A20,'Historical backend'!L:L,'Historical backend'!M:M)</f>
        <v>26270</v>
      </c>
      <c r="E20" s="29">
        <f t="shared" si="1"/>
        <v>3869</v>
      </c>
      <c r="F20" s="42">
        <f t="shared" si="2"/>
        <v>101638.63</v>
      </c>
      <c r="G20" s="42">
        <f t="shared" si="3"/>
        <v>100850.53</v>
      </c>
      <c r="H20" s="38">
        <f t="shared" si="4"/>
        <v>157.95470118005335</v>
      </c>
      <c r="I20" s="42">
        <f t="shared" si="0"/>
        <v>60312.861250000002</v>
      </c>
    </row>
    <row r="21" spans="1:9" x14ac:dyDescent="0.55000000000000004">
      <c r="A21" s="33">
        <f>'Historical backend'!G25</f>
        <v>46184</v>
      </c>
      <c r="B21" s="29">
        <f>'Historical backend'!H25</f>
        <v>260</v>
      </c>
      <c r="C21" s="29">
        <f>_xlfn.XLOOKUP(A21,'Historical backend'!B:B,'Historical backend'!C:C,_xlfn.XLOOKUP(A22,'Historical backend'!B:B,'Historical backend'!C:C))</f>
        <v>3395</v>
      </c>
      <c r="D21" s="29">
        <f>_xlfn.XLOOKUP(A21,'Historical backend'!L:L,'Historical backend'!M:M)</f>
        <v>26325</v>
      </c>
      <c r="E21" s="29">
        <f t="shared" si="1"/>
        <v>3655</v>
      </c>
      <c r="F21" s="42">
        <f t="shared" si="2"/>
        <v>96217.875</v>
      </c>
      <c r="G21" s="42">
        <f t="shared" si="3"/>
        <v>95428.125</v>
      </c>
      <c r="H21" s="38">
        <f t="shared" si="4"/>
        <v>363.60398860398863</v>
      </c>
      <c r="I21" s="42">
        <f t="shared" si="0"/>
        <v>59138.016249999986</v>
      </c>
    </row>
    <row r="22" spans="1:9" x14ac:dyDescent="0.55000000000000004">
      <c r="A22" s="33">
        <f>'Historical backend'!G26</f>
        <v>46177</v>
      </c>
      <c r="B22" s="29">
        <f>'Historical backend'!H26</f>
        <v>280</v>
      </c>
      <c r="C22" s="29">
        <f>_xlfn.XLOOKUP(A22,'Historical backend'!B:B,'Historical backend'!C:C,_xlfn.XLOOKUP(A23,'Historical backend'!B:B,'Historical backend'!C:C))</f>
        <v>3270</v>
      </c>
      <c r="D22" s="29">
        <f>_xlfn.XLOOKUP(A22,'Historical backend'!L:L,'Historical backend'!M:M)</f>
        <v>26275</v>
      </c>
      <c r="E22" s="29">
        <f t="shared" si="1"/>
        <v>3550</v>
      </c>
      <c r="F22" s="42">
        <f t="shared" si="2"/>
        <v>93276.25</v>
      </c>
      <c r="G22" s="42">
        <f t="shared" si="3"/>
        <v>92488</v>
      </c>
      <c r="H22" s="38">
        <f t="shared" si="4"/>
        <v>476.19410085632728</v>
      </c>
      <c r="I22" s="42">
        <f t="shared" si="0"/>
        <v>60150.549999999988</v>
      </c>
    </row>
    <row r="23" spans="1:9" x14ac:dyDescent="0.55000000000000004">
      <c r="A23" s="33">
        <f>'Historical backend'!G27</f>
        <v>46170</v>
      </c>
      <c r="B23" s="29">
        <f>'Historical backend'!H27</f>
        <v>280</v>
      </c>
      <c r="C23" s="29">
        <f>_xlfn.XLOOKUP(A23,'Historical backend'!B:B,'Historical backend'!C:C,_xlfn.XLOOKUP(A24,'Historical backend'!B:B,'Historical backend'!C:C))</f>
        <v>3415</v>
      </c>
      <c r="D23" s="29">
        <f>_xlfn.XLOOKUP(A23,'Historical backend'!L:L,'Historical backend'!M:M)</f>
        <v>26326</v>
      </c>
      <c r="E23" s="29">
        <f t="shared" si="1"/>
        <v>3695</v>
      </c>
      <c r="F23" s="42">
        <f t="shared" si="2"/>
        <v>97274.57</v>
      </c>
      <c r="G23" s="42">
        <f t="shared" si="3"/>
        <v>96484.79</v>
      </c>
      <c r="H23" s="38">
        <f t="shared" si="4"/>
        <v>323.45248043759045</v>
      </c>
      <c r="I23" s="42">
        <f t="shared" si="0"/>
        <v>61131.09</v>
      </c>
    </row>
    <row r="24" spans="1:9" x14ac:dyDescent="0.55000000000000004">
      <c r="A24" s="33">
        <f>'Historical backend'!G28</f>
        <v>46163</v>
      </c>
      <c r="B24" s="29">
        <f>'Historical backend'!H28</f>
        <v>280</v>
      </c>
      <c r="C24" s="29">
        <f>_xlfn.XLOOKUP(A24,'Historical backend'!B:B,'Historical backend'!C:C,_xlfn.XLOOKUP(A25,'Historical backend'!B:B,'Historical backend'!C:C))</f>
        <v>3399</v>
      </c>
      <c r="D24" s="29">
        <f>_xlfn.XLOOKUP(A24,'Historical backend'!L:L,'Historical backend'!M:M)</f>
        <v>26350</v>
      </c>
      <c r="E24" s="29">
        <f t="shared" si="1"/>
        <v>3679</v>
      </c>
      <c r="F24" s="42">
        <f t="shared" si="2"/>
        <v>96941.65</v>
      </c>
      <c r="G24" s="42">
        <f t="shared" si="3"/>
        <v>96151.15</v>
      </c>
      <c r="H24" s="38">
        <f t="shared" si="4"/>
        <v>335.81973434535126</v>
      </c>
      <c r="I24" s="42">
        <f t="shared" si="0"/>
        <v>60801.868749999994</v>
      </c>
    </row>
    <row r="25" spans="1:9" x14ac:dyDescent="0.55000000000000004">
      <c r="A25" s="33">
        <f>'Historical backend'!G29</f>
        <v>46155</v>
      </c>
      <c r="B25" s="29">
        <f>'Historical backend'!H29</f>
        <v>250</v>
      </c>
      <c r="C25" s="29">
        <f>_xlfn.XLOOKUP(A25,'Historical backend'!B:B,'Historical backend'!C:C,_xlfn.XLOOKUP(A26,'Historical backend'!B:B,'Historical backend'!C:C))</f>
        <v>3560</v>
      </c>
      <c r="D25" s="29">
        <f>_xlfn.XLOOKUP(A25,'Historical backend'!L:L,'Historical backend'!M:M)</f>
        <v>26317</v>
      </c>
      <c r="E25" s="29">
        <f t="shared" si="1"/>
        <v>3810</v>
      </c>
      <c r="F25" s="42">
        <f t="shared" si="2"/>
        <v>100267.77</v>
      </c>
      <c r="G25" s="42">
        <f t="shared" si="3"/>
        <v>99478.26</v>
      </c>
      <c r="H25" s="38">
        <f t="shared" si="4"/>
        <v>209.81646844245185</v>
      </c>
      <c r="I25" s="42">
        <f t="shared" si="0"/>
        <v>61263.515749999991</v>
      </c>
    </row>
    <row r="26" spans="1:9" x14ac:dyDescent="0.55000000000000004">
      <c r="A26" s="33">
        <f>'Historical backend'!G30</f>
        <v>46148</v>
      </c>
      <c r="B26" s="29">
        <f>'Historical backend'!H30</f>
        <v>280</v>
      </c>
      <c r="C26" s="29">
        <f>_xlfn.XLOOKUP(A26,'Historical backend'!B:B,'Historical backend'!C:C,_xlfn.XLOOKUP(A27,'Historical backend'!B:B,'Historical backend'!C:C))</f>
        <v>3413</v>
      </c>
      <c r="D26" s="29">
        <f>_xlfn.XLOOKUP(A26,'Historical backend'!L:L,'Historical backend'!M:M)</f>
        <v>26320</v>
      </c>
      <c r="E26" s="29">
        <f t="shared" si="1"/>
        <v>3693</v>
      </c>
      <c r="F26" s="42">
        <f t="shared" si="2"/>
        <v>97199.76</v>
      </c>
      <c r="G26" s="42">
        <f t="shared" si="3"/>
        <v>96410.16</v>
      </c>
      <c r="H26" s="38">
        <f t="shared" si="4"/>
        <v>326.36170212765944</v>
      </c>
      <c r="I26" s="42">
        <f t="shared" si="0"/>
        <v>59960.542750000008</v>
      </c>
    </row>
    <row r="27" spans="1:9" x14ac:dyDescent="0.55000000000000004">
      <c r="A27" s="33">
        <f>'Historical backend'!G31</f>
        <v>46142</v>
      </c>
      <c r="B27" s="29">
        <f>'Historical backend'!H31</f>
        <v>280</v>
      </c>
      <c r="C27" s="29">
        <f>_xlfn.XLOOKUP(A27,'Historical backend'!B:B,'Historical backend'!C:C,_xlfn.XLOOKUP(A28,'Historical backend'!B:B,'Historical backend'!C:C))</f>
        <v>3361</v>
      </c>
      <c r="D27" s="29">
        <f>_xlfn.XLOOKUP(A27,'Historical backend'!L:L,'Historical backend'!M:M)</f>
        <v>26355</v>
      </c>
      <c r="E27" s="29">
        <f t="shared" si="1"/>
        <v>3641</v>
      </c>
      <c r="F27" s="42">
        <f t="shared" si="2"/>
        <v>95958.554999999993</v>
      </c>
      <c r="G27" s="42">
        <f t="shared" si="3"/>
        <v>95167.904999999999</v>
      </c>
      <c r="H27" s="38">
        <f t="shared" si="4"/>
        <v>373.06374501992036</v>
      </c>
      <c r="I27" s="42">
        <f t="shared" si="0"/>
        <v>58157.622749999995</v>
      </c>
    </row>
    <row r="28" spans="1:9" x14ac:dyDescent="0.55000000000000004">
      <c r="A28" s="33">
        <f>'Historical backend'!G32</f>
        <v>46135</v>
      </c>
      <c r="B28" s="29">
        <f>'Historical backend'!H32</f>
        <v>250</v>
      </c>
      <c r="C28" s="29">
        <f>_xlfn.XLOOKUP(A28,'Historical backend'!B:B,'Historical backend'!C:C,_xlfn.XLOOKUP(A29,'Historical backend'!B:B,'Historical backend'!C:C))</f>
        <v>3507</v>
      </c>
      <c r="D28" s="29">
        <f>_xlfn.XLOOKUP(A28,'Historical backend'!L:L,'Historical backend'!M:M)</f>
        <v>26294</v>
      </c>
      <c r="E28" s="29">
        <f t="shared" si="1"/>
        <v>3757</v>
      </c>
      <c r="F28" s="42">
        <f t="shared" si="2"/>
        <v>98786.558000000005</v>
      </c>
      <c r="G28" s="42">
        <f t="shared" si="3"/>
        <v>97997.737999999998</v>
      </c>
      <c r="H28" s="38">
        <f t="shared" si="4"/>
        <v>266.30645774701463</v>
      </c>
      <c r="I28" s="42">
        <f t="shared" si="0"/>
        <v>57360.586500000005</v>
      </c>
    </row>
    <row r="29" spans="1:9" x14ac:dyDescent="0.55000000000000004">
      <c r="A29" s="33">
        <f>'Historical backend'!G33</f>
        <v>46127</v>
      </c>
      <c r="B29" s="29">
        <f>'Historical backend'!H33</f>
        <v>220</v>
      </c>
      <c r="C29" s="29">
        <f>_xlfn.XLOOKUP(A29,'Historical backend'!B:B,'Historical backend'!C:C,_xlfn.XLOOKUP(A30,'Historical backend'!B:B,'Historical backend'!C:C))</f>
        <v>3394</v>
      </c>
      <c r="D29" s="29">
        <f>_xlfn.XLOOKUP(A29,'Historical backend'!L:L,'Historical backend'!M:M)</f>
        <v>26302</v>
      </c>
      <c r="E29" s="29">
        <f t="shared" si="1"/>
        <v>3614</v>
      </c>
      <c r="F29" s="42">
        <f t="shared" si="2"/>
        <v>95055.428</v>
      </c>
      <c r="G29" s="42">
        <f t="shared" si="3"/>
        <v>94266.368000000002</v>
      </c>
      <c r="H29" s="38">
        <f t="shared" si="4"/>
        <v>408.09185613261337</v>
      </c>
      <c r="I29" s="42">
        <f t="shared" si="0"/>
        <v>57048.616000000009</v>
      </c>
    </row>
    <row r="30" spans="1:9" x14ac:dyDescent="0.55000000000000004">
      <c r="A30" s="33">
        <f>'Historical backend'!G34</f>
        <v>46121</v>
      </c>
      <c r="B30" s="29">
        <f>'Historical backend'!H34</f>
        <v>180</v>
      </c>
      <c r="C30" s="29">
        <f>_xlfn.XLOOKUP(A30,'Historical backend'!B:B,'Historical backend'!C:C,_xlfn.XLOOKUP(A31,'Historical backend'!B:B,'Historical backend'!C:C))</f>
        <v>3239</v>
      </c>
      <c r="D30" s="29">
        <f>_xlfn.XLOOKUP(A30,'Historical backend'!L:L,'Historical backend'!M:M)</f>
        <v>26320</v>
      </c>
      <c r="E30" s="29">
        <f t="shared" si="1"/>
        <v>3419</v>
      </c>
      <c r="F30" s="42">
        <f t="shared" si="2"/>
        <v>89988.08</v>
      </c>
      <c r="G30" s="42">
        <f t="shared" si="3"/>
        <v>89198.48</v>
      </c>
      <c r="H30" s="38">
        <f t="shared" si="4"/>
        <v>600.36170212765967</v>
      </c>
      <c r="I30" s="42">
        <f t="shared" si="0"/>
        <v>58680.260250000007</v>
      </c>
    </row>
    <row r="31" spans="1:9" x14ac:dyDescent="0.55000000000000004">
      <c r="A31" s="33">
        <f>'Historical backend'!G35</f>
        <v>46114</v>
      </c>
      <c r="B31" s="29">
        <f>'Historical backend'!H35</f>
        <v>180</v>
      </c>
      <c r="C31" s="29">
        <f>_xlfn.XLOOKUP(A31,'Historical backend'!B:B,'Historical backend'!C:C,_xlfn.XLOOKUP(A32,'Historical backend'!B:B,'Historical backend'!C:C))</f>
        <v>3346</v>
      </c>
      <c r="D31" s="29">
        <f>_xlfn.XLOOKUP(A31,'Historical backend'!L:L,'Historical backend'!M:M)</f>
        <v>26310</v>
      </c>
      <c r="E31" s="29">
        <f t="shared" si="1"/>
        <v>3526</v>
      </c>
      <c r="F31" s="42">
        <f t="shared" si="2"/>
        <v>92769.06</v>
      </c>
      <c r="G31" s="42">
        <f t="shared" si="3"/>
        <v>91979.76</v>
      </c>
      <c r="H31" s="38">
        <f t="shared" si="4"/>
        <v>494.87799315849509</v>
      </c>
      <c r="I31" s="42">
        <f t="shared" si="0"/>
        <v>60756.982749999996</v>
      </c>
    </row>
    <row r="32" spans="1:9" x14ac:dyDescent="0.55000000000000004">
      <c r="A32" s="33">
        <f>'Historical backend'!G36</f>
        <v>46107</v>
      </c>
      <c r="B32" s="29">
        <f>'Historical backend'!H36</f>
        <v>180</v>
      </c>
      <c r="C32" s="29">
        <f>_xlfn.XLOOKUP(A32,'Historical backend'!B:B,'Historical backend'!C:C,_xlfn.XLOOKUP(A33,'Historical backend'!B:B,'Historical backend'!C:C))</f>
        <v>3522</v>
      </c>
      <c r="D32" s="29">
        <f>_xlfn.XLOOKUP(A32,'Historical backend'!L:L,'Historical backend'!M:M)</f>
        <v>26348</v>
      </c>
      <c r="E32" s="29">
        <f t="shared" si="1"/>
        <v>3702</v>
      </c>
      <c r="F32" s="42">
        <f t="shared" si="2"/>
        <v>97540.296000000002</v>
      </c>
      <c r="G32" s="42">
        <f t="shared" si="3"/>
        <v>96749.856</v>
      </c>
      <c r="H32" s="38">
        <f t="shared" si="4"/>
        <v>313.1222104144527</v>
      </c>
      <c r="I32" s="42">
        <f t="shared" si="0"/>
        <v>63454.395250000001</v>
      </c>
    </row>
    <row r="33" spans="1:9" x14ac:dyDescent="0.55000000000000004">
      <c r="A33" s="33">
        <f>'Historical backend'!G37</f>
        <v>46100</v>
      </c>
      <c r="B33" s="29">
        <f>'Historical backend'!H37</f>
        <v>200</v>
      </c>
      <c r="C33" s="29">
        <f>_xlfn.XLOOKUP(A33,'Historical backend'!B:B,'Historical backend'!C:C,_xlfn.XLOOKUP(A34,'Historical backend'!B:B,'Historical backend'!C:C))</f>
        <v>3669</v>
      </c>
      <c r="D33" s="29">
        <f>_xlfn.XLOOKUP(A33,'Historical backend'!L:L,'Historical backend'!M:M)</f>
        <v>26255</v>
      </c>
      <c r="E33" s="29">
        <f t="shared" si="1"/>
        <v>3869</v>
      </c>
      <c r="F33" s="42">
        <f t="shared" si="2"/>
        <v>101580.595</v>
      </c>
      <c r="G33" s="42">
        <f t="shared" si="3"/>
        <v>100792.94500000001</v>
      </c>
      <c r="H33" s="38">
        <f t="shared" si="4"/>
        <v>160.23824033517397</v>
      </c>
      <c r="I33" s="42">
        <f t="shared" si="0"/>
        <v>63793.698749999996</v>
      </c>
    </row>
    <row r="34" spans="1:9" x14ac:dyDescent="0.55000000000000004">
      <c r="A34" s="33">
        <f>'Historical backend'!G38</f>
        <v>46092</v>
      </c>
      <c r="B34" s="29">
        <f>'Historical backend'!H38</f>
        <v>200</v>
      </c>
      <c r="C34" s="29">
        <f>_xlfn.XLOOKUP(A34,'Historical backend'!B:B,'Historical backend'!C:C,_xlfn.XLOOKUP(A35,'Historical backend'!B:B,'Historical backend'!C:C))</f>
        <v>3553</v>
      </c>
      <c r="D34" s="29">
        <f>_xlfn.XLOOKUP(A34,'Historical backend'!L:L,'Historical backend'!M:M)</f>
        <v>26190</v>
      </c>
      <c r="E34" s="29">
        <f t="shared" si="1"/>
        <v>3753</v>
      </c>
      <c r="F34" s="42">
        <f t="shared" si="2"/>
        <v>98291.07</v>
      </c>
      <c r="G34" s="42">
        <f t="shared" si="3"/>
        <v>97505.37</v>
      </c>
      <c r="H34" s="38">
        <f t="shared" si="4"/>
        <v>286.16380297823611</v>
      </c>
      <c r="I34" s="42">
        <f t="shared" si="0"/>
        <v>62895.462499999994</v>
      </c>
    </row>
    <row r="35" spans="1:9" x14ac:dyDescent="0.55000000000000004">
      <c r="A35" s="33">
        <f>'Historical backend'!G39</f>
        <v>46086</v>
      </c>
      <c r="B35" s="29">
        <f>'Historical backend'!H39</f>
        <v>200</v>
      </c>
      <c r="C35" s="29">
        <f>_xlfn.XLOOKUP(A35,'Historical backend'!B:B,'Historical backend'!C:C,_xlfn.XLOOKUP(A36,'Historical backend'!B:B,'Historical backend'!C:C))</f>
        <v>3751</v>
      </c>
      <c r="D35" s="29">
        <f>_xlfn.XLOOKUP(A35,'Historical backend'!L:L,'Historical backend'!M:M)</f>
        <v>26210</v>
      </c>
      <c r="E35" s="29">
        <f t="shared" si="1"/>
        <v>3951</v>
      </c>
      <c r="F35" s="42">
        <f t="shared" si="2"/>
        <v>103555.71</v>
      </c>
      <c r="G35" s="42">
        <f t="shared" si="3"/>
        <v>102769.41</v>
      </c>
      <c r="H35" s="38">
        <f t="shared" si="4"/>
        <v>85.104540251812153</v>
      </c>
      <c r="I35" s="42">
        <f t="shared" si="0"/>
        <v>63619.432499999995</v>
      </c>
    </row>
    <row r="36" spans="1:9" x14ac:dyDescent="0.55000000000000004">
      <c r="A36" s="33">
        <f>'Historical backend'!G40</f>
        <v>46079</v>
      </c>
      <c r="B36" s="29">
        <f>'Historical backend'!H40</f>
        <v>160</v>
      </c>
      <c r="C36" s="29">
        <f>_xlfn.XLOOKUP(A36,'Historical backend'!B:B,'Historical backend'!C:C,_xlfn.XLOOKUP(A37,'Historical backend'!B:B,'Historical backend'!C:C))</f>
        <v>3639</v>
      </c>
      <c r="D36" s="29">
        <f>_xlfn.XLOOKUP(A36,'Historical backend'!L:L,'Historical backend'!M:M)</f>
        <v>26030</v>
      </c>
      <c r="E36" s="29">
        <f t="shared" si="1"/>
        <v>3799</v>
      </c>
      <c r="F36" s="42">
        <f t="shared" si="2"/>
        <v>98887.97</v>
      </c>
      <c r="G36" s="42">
        <f t="shared" si="3"/>
        <v>98107.07</v>
      </c>
      <c r="H36" s="38">
        <f t="shared" si="4"/>
        <v>264.80714560122908</v>
      </c>
      <c r="I36" s="42">
        <f t="shared" si="0"/>
        <v>62832.592499999999</v>
      </c>
    </row>
    <row r="37" spans="1:9" x14ac:dyDescent="0.55000000000000004">
      <c r="A37" s="33">
        <f>'Historical backend'!G41</f>
        <v>46072</v>
      </c>
      <c r="B37" s="29">
        <f>'Historical backend'!H41</f>
        <v>160</v>
      </c>
      <c r="C37" s="29">
        <f>_xlfn.XLOOKUP(A37,'Historical backend'!B:B,'Historical backend'!C:C,_xlfn.XLOOKUP(A38,'Historical backend'!B:B,'Historical backend'!C:C))</f>
        <v>3620</v>
      </c>
      <c r="D37" s="29">
        <f>_xlfn.XLOOKUP(A37,'Historical backend'!L:L,'Historical backend'!M:M)</f>
        <v>25920</v>
      </c>
      <c r="E37" s="29">
        <f t="shared" si="1"/>
        <v>3780</v>
      </c>
      <c r="F37" s="42">
        <f t="shared" si="2"/>
        <v>97977.600000000006</v>
      </c>
      <c r="G37" s="42">
        <f t="shared" si="3"/>
        <v>97200</v>
      </c>
      <c r="H37" s="38">
        <f t="shared" si="4"/>
        <v>300.92592592592592</v>
      </c>
      <c r="I37" s="42">
        <f t="shared" si="0"/>
        <v>65203</v>
      </c>
    </row>
    <row r="38" spans="1:9" x14ac:dyDescent="0.55000000000000004">
      <c r="A38" s="33">
        <f>'Historical backend'!G42</f>
        <v>46065</v>
      </c>
      <c r="B38" s="29">
        <f>'Historical backend'!H42</f>
        <v>140</v>
      </c>
      <c r="C38" s="29">
        <f>_xlfn.XLOOKUP(A38,'Historical backend'!B:B,'Historical backend'!C:C,_xlfn.XLOOKUP(A39,'Historical backend'!B:B,'Historical backend'!C:C))</f>
        <v>3765</v>
      </c>
      <c r="D38" s="29">
        <f>_xlfn.XLOOKUP(A38,'Historical backend'!L:L,'Historical backend'!M:M)</f>
        <v>25910</v>
      </c>
      <c r="E38" s="29">
        <f t="shared" si="1"/>
        <v>3905</v>
      </c>
      <c r="F38" s="42">
        <f t="shared" si="2"/>
        <v>101178.55</v>
      </c>
      <c r="G38" s="42">
        <f t="shared" si="3"/>
        <v>100401.25</v>
      </c>
      <c r="H38" s="38">
        <f t="shared" si="4"/>
        <v>177.48938633732149</v>
      </c>
      <c r="I38" s="42">
        <f t="shared" si="0"/>
        <v>67669.073000000004</v>
      </c>
    </row>
    <row r="39" spans="1:9" x14ac:dyDescent="0.55000000000000004">
      <c r="A39" s="33">
        <f>'Historical backend'!G43</f>
        <v>46058</v>
      </c>
      <c r="B39" s="29">
        <f>'Historical backend'!H43</f>
        <v>120</v>
      </c>
      <c r="C39" s="29">
        <f>_xlfn.XLOOKUP(A39,'Historical backend'!B:B,'Historical backend'!C:C,_xlfn.XLOOKUP(A40,'Historical backend'!B:B,'Historical backend'!C:C))</f>
        <v>3749</v>
      </c>
      <c r="D39" s="29">
        <f>_xlfn.XLOOKUP(A39,'Historical backend'!L:L,'Historical backend'!M:M)</f>
        <v>25950</v>
      </c>
      <c r="E39" s="29">
        <f t="shared" si="1"/>
        <v>3869</v>
      </c>
      <c r="F39" s="42">
        <f t="shared" si="2"/>
        <v>100400.55</v>
      </c>
      <c r="G39" s="42">
        <f t="shared" si="3"/>
        <v>99622.05</v>
      </c>
      <c r="H39" s="38">
        <f t="shared" si="4"/>
        <v>207.24277456647388</v>
      </c>
      <c r="I39" s="42">
        <f t="shared" si="0"/>
        <v>69015.157999999996</v>
      </c>
    </row>
    <row r="40" spans="1:9" x14ac:dyDescent="0.55000000000000004">
      <c r="A40" s="33">
        <f>'Historical backend'!G44</f>
        <v>46051</v>
      </c>
      <c r="B40" s="29">
        <f>'Historical backend'!H44</f>
        <v>80</v>
      </c>
      <c r="C40" s="29">
        <f>_xlfn.XLOOKUP(A40,'Historical backend'!B:B,'Historical backend'!C:C,_xlfn.XLOOKUP(A41,'Historical backend'!B:B,'Historical backend'!C:C))</f>
        <v>4096</v>
      </c>
      <c r="D40" s="29">
        <f>_xlfn.XLOOKUP(A40,'Historical backend'!L:L,'Historical backend'!M:M)</f>
        <v>25950</v>
      </c>
      <c r="E40" s="29">
        <f t="shared" si="1"/>
        <v>4176</v>
      </c>
      <c r="F40" s="42">
        <f t="shared" si="2"/>
        <v>108367.2</v>
      </c>
      <c r="G40" s="42">
        <f t="shared" si="3"/>
        <v>107588.7</v>
      </c>
      <c r="H40" s="38">
        <f t="shared" si="4"/>
        <v>-99.757225433525903</v>
      </c>
      <c r="I40" s="42">
        <f t="shared" si="0"/>
        <v>70195.380499999999</v>
      </c>
    </row>
    <row r="41" spans="1:9" x14ac:dyDescent="0.55000000000000004">
      <c r="A41" s="33">
        <f>'Historical backend'!G45</f>
        <v>46044</v>
      </c>
      <c r="B41" s="29">
        <f>'Historical backend'!H45</f>
        <v>80</v>
      </c>
      <c r="C41" s="29">
        <f>_xlfn.XLOOKUP(A41,'Historical backend'!B:B,'Historical backend'!C:C,_xlfn.XLOOKUP(A42,'Historical backend'!B:B,'Historical backend'!C:C))</f>
        <v>4026</v>
      </c>
      <c r="D41" s="29">
        <f>_xlfn.XLOOKUP(A41,'Historical backend'!L:L,'Historical backend'!M:M)</f>
        <v>26267</v>
      </c>
      <c r="E41" s="29">
        <f t="shared" si="1"/>
        <v>4106</v>
      </c>
      <c r="F41" s="42">
        <f t="shared" si="2"/>
        <v>107852.302</v>
      </c>
      <c r="G41" s="42">
        <f t="shared" si="3"/>
        <v>107064.292</v>
      </c>
      <c r="H41" s="38">
        <f t="shared" si="4"/>
        <v>-78.588799634522445</v>
      </c>
      <c r="I41" s="42">
        <f t="shared" si="0"/>
        <v>69455.156749999995</v>
      </c>
    </row>
    <row r="42" spans="1:9" x14ac:dyDescent="0.55000000000000004">
      <c r="A42" s="33">
        <f>'Historical backend'!G46</f>
        <v>46037</v>
      </c>
      <c r="B42" s="29">
        <f>'Historical backend'!H46</f>
        <v>60</v>
      </c>
      <c r="C42" s="29">
        <f>_xlfn.XLOOKUP(A42,'Historical backend'!B:B,'Historical backend'!C:C,_xlfn.XLOOKUP(A43,'Historical backend'!B:B,'Historical backend'!C:C))</f>
        <v>4003</v>
      </c>
      <c r="D42" s="29">
        <f>_xlfn.XLOOKUP(A42,'Historical backend'!L:L,'Historical backend'!M:M)</f>
        <v>26230</v>
      </c>
      <c r="E42" s="29">
        <f t="shared" si="1"/>
        <v>4063</v>
      </c>
      <c r="F42" s="42">
        <f t="shared" si="2"/>
        <v>106572.49</v>
      </c>
      <c r="G42" s="42">
        <f t="shared" si="3"/>
        <v>105785.59</v>
      </c>
      <c r="H42" s="38">
        <f t="shared" si="4"/>
        <v>-29.950057186427621</v>
      </c>
      <c r="I42" s="42">
        <f t="shared" si="0"/>
        <v>68135.688749999987</v>
      </c>
    </row>
    <row r="43" spans="1:9" x14ac:dyDescent="0.55000000000000004">
      <c r="A43" s="33">
        <f>'Historical backend'!G47</f>
        <v>46030</v>
      </c>
      <c r="B43" s="29">
        <f>'Historical backend'!H47</f>
        <v>80</v>
      </c>
      <c r="C43" s="29">
        <f>_xlfn.XLOOKUP(A43,'Historical backend'!B:B,'Historical backend'!C:C,_xlfn.XLOOKUP(A44,'Historical backend'!B:B,'Historical backend'!C:C))</f>
        <v>3928</v>
      </c>
      <c r="D43" s="29">
        <f>_xlfn.XLOOKUP(A43,'Historical backend'!L:L,'Historical backend'!M:M)</f>
        <v>26230</v>
      </c>
      <c r="E43" s="29">
        <f t="shared" si="1"/>
        <v>4008</v>
      </c>
      <c r="F43" s="42">
        <f t="shared" si="2"/>
        <v>105129.84</v>
      </c>
      <c r="G43" s="42">
        <f t="shared" si="3"/>
        <v>104342.94</v>
      </c>
      <c r="H43" s="38">
        <f t="shared" si="4"/>
        <v>25.049942813572155</v>
      </c>
      <c r="I43" s="42">
        <f t="shared" si="0"/>
        <v>66048.914999999994</v>
      </c>
    </row>
    <row r="44" spans="1:9" x14ac:dyDescent="0.55000000000000004">
      <c r="A44" s="33">
        <f>'Historical backend'!G48</f>
        <v>46022</v>
      </c>
      <c r="B44" s="29">
        <f>'Historical backend'!H48</f>
        <v>60</v>
      </c>
      <c r="C44" s="29">
        <f>_xlfn.XLOOKUP(A44,'Historical backend'!B:B,'Historical backend'!C:C,_xlfn.XLOOKUP(A45,'Historical backend'!B:B,'Historical backend'!C:C))</f>
        <v>3949</v>
      </c>
      <c r="D44" s="29">
        <f>_xlfn.XLOOKUP(A44,'Historical backend'!L:L,'Historical backend'!M:M)</f>
        <v>26295</v>
      </c>
      <c r="E44" s="29">
        <f t="shared" si="1"/>
        <v>4009</v>
      </c>
      <c r="F44" s="42">
        <f t="shared" si="2"/>
        <v>105416.655</v>
      </c>
      <c r="G44" s="42">
        <f t="shared" si="3"/>
        <v>104627.80499999999</v>
      </c>
      <c r="H44" s="38">
        <f t="shared" si="4"/>
        <v>14.154592127781214</v>
      </c>
      <c r="I44" s="42">
        <f t="shared" si="0"/>
        <v>67163.954999999987</v>
      </c>
    </row>
    <row r="45" spans="1:9" x14ac:dyDescent="0.55000000000000004">
      <c r="A45" s="33">
        <f>'Historical backend'!G49</f>
        <v>46015</v>
      </c>
      <c r="B45" s="29">
        <f>'Historical backend'!H49</f>
        <v>40</v>
      </c>
      <c r="C45" s="29">
        <f>_xlfn.XLOOKUP(A45,'Historical backend'!B:B,'Historical backend'!C:C,_xlfn.XLOOKUP(A46,'Historical backend'!B:B,'Historical backend'!C:C))</f>
        <v>3858</v>
      </c>
      <c r="D45" s="29">
        <f>_xlfn.XLOOKUP(A45,'Historical backend'!L:L,'Historical backend'!M:M)</f>
        <v>26315</v>
      </c>
      <c r="E45" s="29">
        <f t="shared" si="1"/>
        <v>3898</v>
      </c>
      <c r="F45" s="42">
        <f t="shared" si="2"/>
        <v>102575.87</v>
      </c>
      <c r="G45" s="42">
        <f t="shared" si="3"/>
        <v>101786.42</v>
      </c>
      <c r="H45" s="38">
        <f t="shared" si="4"/>
        <v>122.11970359110779</v>
      </c>
      <c r="I45" s="42">
        <f t="shared" si="0"/>
        <v>69203.973750000005</v>
      </c>
    </row>
    <row r="46" spans="1:9" x14ac:dyDescent="0.55000000000000004">
      <c r="A46" s="33">
        <f>'Historical backend'!G50</f>
        <v>46009</v>
      </c>
      <c r="B46" s="29">
        <f>'Historical backend'!H50</f>
        <v>60</v>
      </c>
      <c r="C46" s="29">
        <f>_xlfn.XLOOKUP(A46,'Historical backend'!B:B,'Historical backend'!C:C,_xlfn.XLOOKUP(A47,'Historical backend'!B:B,'Historical backend'!C:C))</f>
        <v>3677</v>
      </c>
      <c r="D46" s="29">
        <f>_xlfn.XLOOKUP(A46,'Historical backend'!L:L,'Historical backend'!M:M)</f>
        <v>26285</v>
      </c>
      <c r="E46" s="29">
        <f t="shared" si="1"/>
        <v>3737</v>
      </c>
      <c r="F46" s="42">
        <f t="shared" si="2"/>
        <v>98227.044999999998</v>
      </c>
      <c r="G46" s="42">
        <f t="shared" si="3"/>
        <v>97438.494999999995</v>
      </c>
      <c r="H46" s="38">
        <f t="shared" si="4"/>
        <v>287.67376830892158</v>
      </c>
      <c r="I46" s="42">
        <f t="shared" si="0"/>
        <v>73485.205749999994</v>
      </c>
    </row>
    <row r="47" spans="1:9" x14ac:dyDescent="0.55000000000000004">
      <c r="A47" s="33">
        <f>'Historical backend'!G51</f>
        <v>46002</v>
      </c>
      <c r="B47" s="29">
        <f>'Historical backend'!H51</f>
        <v>60</v>
      </c>
      <c r="C47" s="29">
        <f>_xlfn.XLOOKUP(A47,'Historical backend'!B:B,'Historical backend'!C:C,_xlfn.XLOOKUP(A48,'Historical backend'!B:B,'Historical backend'!C:C))</f>
        <v>4107</v>
      </c>
      <c r="D47" s="29">
        <f>_xlfn.XLOOKUP(A47,'Historical backend'!L:L,'Historical backend'!M:M)</f>
        <v>26300</v>
      </c>
      <c r="E47" s="29">
        <f t="shared" si="1"/>
        <v>4167</v>
      </c>
      <c r="F47" s="42">
        <f t="shared" si="2"/>
        <v>109592.1</v>
      </c>
      <c r="G47" s="42">
        <f t="shared" si="3"/>
        <v>108803.1</v>
      </c>
      <c r="H47" s="38">
        <f t="shared" si="4"/>
        <v>-144.60456273764279</v>
      </c>
      <c r="I47" s="42">
        <f t="shared" si="0"/>
        <v>80441.79849999999</v>
      </c>
    </row>
    <row r="48" spans="1:9" x14ac:dyDescent="0.55000000000000004">
      <c r="A48" s="33">
        <f>'Historical backend'!G52</f>
        <v>45995</v>
      </c>
      <c r="B48" s="29">
        <f>'Historical backend'!H52</f>
        <v>80</v>
      </c>
      <c r="C48" s="29">
        <f>_xlfn.XLOOKUP(A48,'Historical backend'!B:B,'Historical backend'!C:C,_xlfn.XLOOKUP(A49,'Historical backend'!B:B,'Historical backend'!C:C))</f>
        <v>4232</v>
      </c>
      <c r="D48" s="29">
        <f>_xlfn.XLOOKUP(A48,'Historical backend'!L:L,'Historical backend'!M:M)</f>
        <v>26340</v>
      </c>
      <c r="E48" s="29">
        <f t="shared" si="1"/>
        <v>4312</v>
      </c>
      <c r="F48" s="42">
        <f t="shared" si="2"/>
        <v>113578.08</v>
      </c>
      <c r="G48" s="42">
        <f t="shared" si="3"/>
        <v>112787.88</v>
      </c>
      <c r="H48" s="38">
        <f t="shared" si="4"/>
        <v>-295.66742596810951</v>
      </c>
      <c r="I48" s="42">
        <f t="shared" si="0"/>
        <v>82641.035999999993</v>
      </c>
    </row>
    <row r="49" spans="1:9" x14ac:dyDescent="0.55000000000000004">
      <c r="A49" s="33">
        <f>'Historical backend'!G53</f>
        <v>45988</v>
      </c>
      <c r="B49" s="29">
        <f>'Historical backend'!H53</f>
        <v>150</v>
      </c>
      <c r="C49" s="29">
        <f>_xlfn.XLOOKUP(A49,'Historical backend'!B:B,'Historical backend'!C:C,_xlfn.XLOOKUP(A50,'Historical backend'!B:B,'Historical backend'!C:C))</f>
        <v>4389</v>
      </c>
      <c r="D49" s="29">
        <f>_xlfn.XLOOKUP(A49,'Historical backend'!L:L,'Historical backend'!M:M)</f>
        <v>26372</v>
      </c>
      <c r="E49" s="29">
        <f t="shared" si="1"/>
        <v>4539</v>
      </c>
      <c r="F49" s="42">
        <f t="shared" si="2"/>
        <v>119702.508</v>
      </c>
      <c r="G49" s="42">
        <f t="shared" si="3"/>
        <v>118911.348</v>
      </c>
      <c r="H49" s="38">
        <f t="shared" si="4"/>
        <v>-527.50447444259055</v>
      </c>
      <c r="I49" s="42">
        <f t="shared" si="0"/>
        <v>85000.378499999992</v>
      </c>
    </row>
    <row r="50" spans="1:9" x14ac:dyDescent="0.55000000000000004">
      <c r="A50" s="33">
        <f>'Historical backend'!G54</f>
        <v>45981</v>
      </c>
      <c r="B50" s="29">
        <f>'Historical backend'!H54</f>
        <v>150</v>
      </c>
      <c r="C50" s="29">
        <f>_xlfn.XLOOKUP(A50,'Historical backend'!B:B,'Historical backend'!C:C,_xlfn.XLOOKUP(A51,'Historical backend'!B:B,'Historical backend'!C:C))</f>
        <v>4631</v>
      </c>
      <c r="D50" s="29">
        <f>_xlfn.XLOOKUP(A50,'Historical backend'!L:L,'Historical backend'!M:M)</f>
        <v>26366</v>
      </c>
      <c r="E50" s="29">
        <f t="shared" si="1"/>
        <v>4781</v>
      </c>
      <c r="F50" s="42">
        <f t="shared" si="2"/>
        <v>126055.84600000001</v>
      </c>
      <c r="G50" s="42">
        <f t="shared" si="3"/>
        <v>125264.86599999999</v>
      </c>
      <c r="H50" s="38">
        <f t="shared" si="4"/>
        <v>-768.59842221042231</v>
      </c>
      <c r="I50" s="42">
        <f t="shared" si="0"/>
        <v>86593.970249999984</v>
      </c>
    </row>
    <row r="51" spans="1:9" x14ac:dyDescent="0.55000000000000004">
      <c r="A51" s="33">
        <f>'Historical backend'!G55</f>
        <v>45974</v>
      </c>
      <c r="B51" s="29">
        <f>'Historical backend'!H55</f>
        <v>150</v>
      </c>
      <c r="C51" s="29">
        <f>_xlfn.XLOOKUP(A51,'Historical backend'!B:B,'Historical backend'!C:C,_xlfn.XLOOKUP(A52,'Historical backend'!B:B,'Historical backend'!C:C))</f>
        <v>4343</v>
      </c>
      <c r="D51" s="29">
        <f>_xlfn.XLOOKUP(A51,'Historical backend'!L:L,'Historical backend'!M:M)</f>
        <v>26350</v>
      </c>
      <c r="E51" s="29">
        <f t="shared" si="1"/>
        <v>4493</v>
      </c>
      <c r="F51" s="42">
        <f t="shared" si="2"/>
        <v>118390.55</v>
      </c>
      <c r="G51" s="42">
        <f t="shared" si="3"/>
        <v>117600.05</v>
      </c>
      <c r="H51" s="38">
        <f t="shared" si="4"/>
        <v>-478.18026565464908</v>
      </c>
      <c r="I51" s="42">
        <f t="shared" si="0"/>
        <v>85806.251749999996</v>
      </c>
    </row>
    <row r="52" spans="1:9" x14ac:dyDescent="0.55000000000000004">
      <c r="A52" s="33">
        <f>'Historical backend'!G56</f>
        <v>45967</v>
      </c>
      <c r="B52" s="29">
        <f>'Historical backend'!H56</f>
        <v>150</v>
      </c>
      <c r="C52" s="29">
        <f>_xlfn.XLOOKUP(A52,'Historical backend'!B:B,'Historical backend'!C:C,_xlfn.XLOOKUP(A53,'Historical backend'!B:B,'Historical backend'!C:C))</f>
        <v>4530</v>
      </c>
      <c r="D52" s="29">
        <f>_xlfn.XLOOKUP(A52,'Historical backend'!L:L,'Historical backend'!M:M)</f>
        <v>26285</v>
      </c>
      <c r="E52" s="29">
        <f t="shared" si="1"/>
        <v>4680</v>
      </c>
      <c r="F52" s="42">
        <f t="shared" si="2"/>
        <v>123013.8</v>
      </c>
      <c r="G52" s="42">
        <f t="shared" si="3"/>
        <v>122225.25</v>
      </c>
      <c r="H52" s="38">
        <f t="shared" si="4"/>
        <v>-655.32623169107853</v>
      </c>
      <c r="I52" s="42">
        <f t="shared" si="0"/>
        <v>86952.149250000002</v>
      </c>
    </row>
    <row r="53" spans="1:9" x14ac:dyDescent="0.55000000000000004">
      <c r="A53" s="33">
        <f>'Historical backend'!G57</f>
        <v>45960</v>
      </c>
      <c r="B53" s="29">
        <f>'Historical backend'!H57</f>
        <v>150</v>
      </c>
      <c r="C53" s="29">
        <f>_xlfn.XLOOKUP(A53,'Historical backend'!B:B,'Historical backend'!C:C,_xlfn.XLOOKUP(A54,'Historical backend'!B:B,'Historical backend'!C:C))</f>
        <v>4641</v>
      </c>
      <c r="D53" s="29">
        <f>_xlfn.XLOOKUP(A53,'Historical backend'!L:L,'Historical backend'!M:M)</f>
        <v>26315</v>
      </c>
      <c r="E53" s="29">
        <f t="shared" si="1"/>
        <v>4791</v>
      </c>
      <c r="F53" s="42">
        <f t="shared" si="2"/>
        <v>126075.16499999999</v>
      </c>
      <c r="G53" s="42">
        <f t="shared" si="3"/>
        <v>125285.715</v>
      </c>
      <c r="H53" s="38">
        <f t="shared" si="4"/>
        <v>-770.88029640889215</v>
      </c>
      <c r="I53" s="42">
        <f t="shared" si="0"/>
        <v>86772.774749999997</v>
      </c>
    </row>
    <row r="54" spans="1:9" x14ac:dyDescent="0.55000000000000004">
      <c r="A54" s="33">
        <f>'Historical backend'!G58</f>
        <v>45953</v>
      </c>
      <c r="B54" s="29">
        <f>'Historical backend'!H58</f>
        <v>150</v>
      </c>
      <c r="C54" s="29">
        <f>_xlfn.XLOOKUP(A54,'Historical backend'!B:B,'Historical backend'!C:C,_xlfn.XLOOKUP(A55,'Historical backend'!B:B,'Historical backend'!C:C))</f>
        <v>4521</v>
      </c>
      <c r="D54" s="29">
        <f>_xlfn.XLOOKUP(A54,'Historical backend'!L:L,'Historical backend'!M:M)</f>
        <v>26312</v>
      </c>
      <c r="E54" s="29">
        <f t="shared" si="1"/>
        <v>4671</v>
      </c>
      <c r="F54" s="42">
        <f t="shared" si="2"/>
        <v>122903.352</v>
      </c>
      <c r="G54" s="42">
        <f t="shared" si="3"/>
        <v>122113.992</v>
      </c>
      <c r="H54" s="38">
        <f t="shared" si="4"/>
        <v>-650.4253572514441</v>
      </c>
      <c r="I54" s="42">
        <f t="shared" si="0"/>
        <v>85242.444749999995</v>
      </c>
    </row>
    <row r="55" spans="1:9" x14ac:dyDescent="0.55000000000000004">
      <c r="A55" s="33">
        <f>'Historical backend'!G59</f>
        <v>45946</v>
      </c>
      <c r="B55" s="29">
        <f>'Historical backend'!H59</f>
        <v>150</v>
      </c>
      <c r="C55" s="29">
        <f>_xlfn.XLOOKUP(A55,'Historical backend'!B:B,'Historical backend'!C:C,_xlfn.XLOOKUP(A56,'Historical backend'!B:B,'Historical backend'!C:C))</f>
        <v>4524</v>
      </c>
      <c r="D55" s="29">
        <f>_xlfn.XLOOKUP(A55,'Historical backend'!L:L,'Historical backend'!M:M)</f>
        <v>26310</v>
      </c>
      <c r="E55" s="29">
        <f t="shared" si="1"/>
        <v>4674</v>
      </c>
      <c r="F55" s="42">
        <f t="shared" si="2"/>
        <v>122972.94</v>
      </c>
      <c r="G55" s="42">
        <f t="shared" si="3"/>
        <v>122183.64</v>
      </c>
      <c r="H55" s="38">
        <f t="shared" si="4"/>
        <v>-653.12200684150514</v>
      </c>
      <c r="I55" s="42">
        <f t="shared" si="0"/>
        <v>82755.886750000005</v>
      </c>
    </row>
    <row r="56" spans="1:9" x14ac:dyDescent="0.55000000000000004">
      <c r="A56" s="33">
        <f>'Historical backend'!G60</f>
        <v>45939</v>
      </c>
      <c r="B56" s="29">
        <f>'Historical backend'!H60</f>
        <v>170</v>
      </c>
      <c r="C56" s="29">
        <f>_xlfn.XLOOKUP(A56,'Historical backend'!B:B,'Historical backend'!C:C,_xlfn.XLOOKUP(A57,'Historical backend'!B:B,'Historical backend'!C:C))</f>
        <v>4472</v>
      </c>
      <c r="D56" s="29">
        <f>_xlfn.XLOOKUP(A56,'Historical backend'!L:L,'Historical backend'!M:M)</f>
        <v>26346</v>
      </c>
      <c r="E56" s="29">
        <f t="shared" si="1"/>
        <v>4642</v>
      </c>
      <c r="F56" s="42">
        <f t="shared" si="2"/>
        <v>122298.132</v>
      </c>
      <c r="G56" s="42">
        <f t="shared" si="3"/>
        <v>121507.75199999999</v>
      </c>
      <c r="H56" s="38">
        <f t="shared" si="4"/>
        <v>-626.57526759280324</v>
      </c>
      <c r="I56" s="42">
        <f t="shared" si="0"/>
        <v>83420.885500000004</v>
      </c>
    </row>
    <row r="57" spans="1:9" x14ac:dyDescent="0.55000000000000004">
      <c r="A57" s="33">
        <f>'Historical backend'!G61</f>
        <v>45932</v>
      </c>
      <c r="B57" s="29">
        <f>'Historical backend'!H61</f>
        <v>220</v>
      </c>
      <c r="C57" s="29">
        <f>_xlfn.XLOOKUP(A57,'Historical backend'!B:B,'Historical backend'!C:C,_xlfn.XLOOKUP(A58,'Historical backend'!B:B,'Historical backend'!C:C))</f>
        <v>4325</v>
      </c>
      <c r="D57" s="29">
        <f>_xlfn.XLOOKUP(A57,'Historical backend'!L:L,'Historical backend'!M:M)</f>
        <v>26393</v>
      </c>
      <c r="E57" s="29">
        <f t="shared" si="1"/>
        <v>4545</v>
      </c>
      <c r="F57" s="42">
        <f t="shared" si="2"/>
        <v>119956.185</v>
      </c>
      <c r="G57" s="42">
        <f t="shared" si="3"/>
        <v>119164.395</v>
      </c>
      <c r="H57" s="38">
        <f t="shared" si="4"/>
        <v>-536.67241313984778</v>
      </c>
      <c r="I57" s="42">
        <f t="shared" si="0"/>
        <v>85623.666249999995</v>
      </c>
    </row>
    <row r="58" spans="1:9" x14ac:dyDescent="0.55000000000000004">
      <c r="A58" s="33">
        <f>'Historical backend'!G62</f>
        <v>45925</v>
      </c>
      <c r="B58" s="29">
        <f>'Historical backend'!H62</f>
        <v>200</v>
      </c>
      <c r="C58" s="29">
        <f>_xlfn.XLOOKUP(A58,'Historical backend'!B:B,'Historical backend'!C:C,_xlfn.XLOOKUP(A59,'Historical backend'!B:B,'Historical backend'!C:C))</f>
        <v>4082</v>
      </c>
      <c r="D58" s="29">
        <f>_xlfn.XLOOKUP(A58,'Historical backend'!L:L,'Historical backend'!M:M)</f>
        <v>26380</v>
      </c>
      <c r="E58" s="29">
        <f t="shared" si="1"/>
        <v>4282</v>
      </c>
      <c r="F58" s="42">
        <f t="shared" si="2"/>
        <v>112959.16</v>
      </c>
      <c r="G58" s="42">
        <f t="shared" si="3"/>
        <v>112167.76</v>
      </c>
      <c r="H58" s="38">
        <f t="shared" si="4"/>
        <v>-271.71190295678525</v>
      </c>
      <c r="I58" s="42">
        <f t="shared" si="0"/>
        <v>88018.127500000002</v>
      </c>
    </row>
    <row r="59" spans="1:9" x14ac:dyDescent="0.55000000000000004">
      <c r="A59" s="33">
        <f>'Historical backend'!G63</f>
        <v>45918</v>
      </c>
      <c r="B59" s="29">
        <f>'Historical backend'!H63</f>
        <v>320</v>
      </c>
      <c r="C59" s="29">
        <f>_xlfn.XLOOKUP(A59,'Historical backend'!B:B,'Historical backend'!C:C,_xlfn.XLOOKUP(A60,'Historical backend'!B:B,'Historical backend'!C:C))</f>
        <v>4447</v>
      </c>
      <c r="D59" s="29">
        <f>_xlfn.XLOOKUP(A59,'Historical backend'!L:L,'Historical backend'!M:M)</f>
        <v>26355</v>
      </c>
      <c r="E59" s="29">
        <f t="shared" si="1"/>
        <v>4767</v>
      </c>
      <c r="F59" s="42">
        <f t="shared" si="2"/>
        <v>125634.285</v>
      </c>
      <c r="G59" s="42">
        <f t="shared" si="3"/>
        <v>124843.63499999999</v>
      </c>
      <c r="H59" s="38">
        <f t="shared" si="4"/>
        <v>-752.93625498007941</v>
      </c>
      <c r="I59" s="42">
        <f t="shared" si="0"/>
        <v>95417.20749999999</v>
      </c>
    </row>
    <row r="60" spans="1:9" x14ac:dyDescent="0.55000000000000004">
      <c r="A60" s="33">
        <f>'Historical backend'!G64</f>
        <v>45911</v>
      </c>
      <c r="B60" s="29">
        <f>'Historical backend'!H64</f>
        <v>450</v>
      </c>
      <c r="C60" s="29">
        <f>_xlfn.XLOOKUP(A60,'Historical backend'!B:B,'Historical backend'!C:C,_xlfn.XLOOKUP(A61,'Historical backend'!B:B,'Historical backend'!C:C))</f>
        <v>4521</v>
      </c>
      <c r="D60" s="29">
        <f>_xlfn.XLOOKUP(A60,'Historical backend'!L:L,'Historical backend'!M:M)</f>
        <v>26375</v>
      </c>
      <c r="E60" s="29">
        <f t="shared" si="1"/>
        <v>4971</v>
      </c>
      <c r="F60" s="42">
        <f t="shared" si="2"/>
        <v>131110.125</v>
      </c>
      <c r="G60" s="42">
        <f t="shared" si="3"/>
        <v>130318.875</v>
      </c>
      <c r="H60" s="38">
        <f t="shared" si="4"/>
        <v>-959.957345971564</v>
      </c>
      <c r="I60" s="42">
        <f t="shared" si="0"/>
        <v>97476.598750000005</v>
      </c>
    </row>
    <row r="61" spans="1:9" x14ac:dyDescent="0.55000000000000004">
      <c r="A61" s="33">
        <f>'Historical backend'!G65</f>
        <v>45904</v>
      </c>
      <c r="B61" s="29">
        <f>'Historical backend'!H65</f>
        <v>500</v>
      </c>
      <c r="C61" s="29">
        <f>_xlfn.XLOOKUP(A61,'Historical backend'!B:B,'Historical backend'!C:C,_xlfn.XLOOKUP(A62,'Historical backend'!B:B,'Historical backend'!C:C))</f>
        <v>4414</v>
      </c>
      <c r="D61" s="29">
        <f>_xlfn.XLOOKUP(A61,'Historical backend'!L:L,'Historical backend'!M:M)</f>
        <v>26360</v>
      </c>
      <c r="E61" s="29">
        <f t="shared" si="1"/>
        <v>4914</v>
      </c>
      <c r="F61" s="42">
        <f t="shared" si="2"/>
        <v>129533.04</v>
      </c>
      <c r="G61" s="42">
        <f t="shared" si="3"/>
        <v>128742.24</v>
      </c>
      <c r="H61" s="38">
        <f t="shared" si="4"/>
        <v>-900.69195751138113</v>
      </c>
      <c r="I61" s="42">
        <f t="shared" si="0"/>
        <v>94222.02</v>
      </c>
    </row>
    <row r="62" spans="1:9" x14ac:dyDescent="0.55000000000000004">
      <c r="A62" s="33">
        <f>'Historical backend'!G66</f>
        <v>45897</v>
      </c>
      <c r="B62" s="29">
        <f>'Historical backend'!H66</f>
        <v>600</v>
      </c>
      <c r="C62" s="29">
        <f>_xlfn.XLOOKUP(A62,'Historical backend'!B:B,'Historical backend'!C:C,_xlfn.XLOOKUP(A63,'Historical backend'!B:B,'Historical backend'!C:C))</f>
        <v>4808</v>
      </c>
      <c r="D62" s="29">
        <f>_xlfn.XLOOKUP(A62,'Historical backend'!L:L,'Historical backend'!M:M)</f>
        <v>26360</v>
      </c>
      <c r="E62" s="29">
        <f t="shared" si="1"/>
        <v>5408</v>
      </c>
      <c r="F62" s="42">
        <f t="shared" si="2"/>
        <v>142554.88</v>
      </c>
      <c r="G62" s="42">
        <f t="shared" si="3"/>
        <v>141764.07999999999</v>
      </c>
      <c r="H62" s="38">
        <f t="shared" si="4"/>
        <v>-1394.6919575113802</v>
      </c>
      <c r="I62" s="42">
        <f t="shared" si="0"/>
        <v>87552.067500000005</v>
      </c>
    </row>
    <row r="63" spans="1:9" x14ac:dyDescent="0.55000000000000004">
      <c r="A63" s="33">
        <f>'Historical backend'!G67</f>
        <v>45890</v>
      </c>
      <c r="B63" s="29">
        <f>'Historical backend'!H67</f>
        <v>550</v>
      </c>
      <c r="C63" s="29">
        <f>_xlfn.XLOOKUP(A63,'Historical backend'!B:B,'Historical backend'!C:C,_xlfn.XLOOKUP(A64,'Historical backend'!B:B,'Historical backend'!C:C))</f>
        <v>4520</v>
      </c>
      <c r="D63" s="29">
        <f>_xlfn.XLOOKUP(A63,'Historical backend'!L:L,'Historical backend'!M:M)</f>
        <v>26405</v>
      </c>
      <c r="E63" s="29">
        <f t="shared" si="1"/>
        <v>5070</v>
      </c>
      <c r="F63" s="42">
        <f t="shared" si="2"/>
        <v>133873.35</v>
      </c>
      <c r="G63" s="42">
        <f t="shared" si="3"/>
        <v>133081.20000000001</v>
      </c>
      <c r="H63" s="38">
        <f t="shared" si="4"/>
        <v>-1063.480401439122</v>
      </c>
      <c r="I63" s="42">
        <f t="shared" si="0"/>
        <v>76153.344249999995</v>
      </c>
    </row>
    <row r="64" spans="1:9" x14ac:dyDescent="0.55000000000000004">
      <c r="A64" s="33">
        <f>'Historical backend'!G68</f>
        <v>45883</v>
      </c>
      <c r="B64" s="29">
        <f>'Historical backend'!H68</f>
        <v>550</v>
      </c>
      <c r="C64" s="29">
        <f>_xlfn.XLOOKUP(A64,'Historical backend'!B:B,'Historical backend'!C:C,_xlfn.XLOOKUP(A65,'Historical backend'!B:B,'Historical backend'!C:C))</f>
        <v>3952</v>
      </c>
      <c r="D64" s="29">
        <f>_xlfn.XLOOKUP(A64,'Historical backend'!L:L,'Historical backend'!M:M)</f>
        <v>26230</v>
      </c>
      <c r="E64" s="29">
        <f t="shared" si="1"/>
        <v>4502</v>
      </c>
      <c r="F64" s="42">
        <f t="shared" si="2"/>
        <v>118087.46</v>
      </c>
      <c r="G64" s="42">
        <f t="shared" si="3"/>
        <v>117300.56</v>
      </c>
      <c r="H64" s="38">
        <f t="shared" si="4"/>
        <v>-468.95005718642767</v>
      </c>
      <c r="I64" s="42">
        <f t="shared" si="0"/>
        <v>66832.441749999998</v>
      </c>
    </row>
    <row r="65" spans="1:9" x14ac:dyDescent="0.55000000000000004">
      <c r="A65" s="33">
        <f>'Historical backend'!G69</f>
        <v>45876</v>
      </c>
      <c r="B65" s="29">
        <f>'Historical backend'!H69</f>
        <v>550</v>
      </c>
      <c r="C65" s="29">
        <f>_xlfn.XLOOKUP(A65,'Historical backend'!B:B,'Historical backend'!C:C,_xlfn.XLOOKUP(A66,'Historical backend'!B:B,'Historical backend'!C:C))</f>
        <v>3377</v>
      </c>
      <c r="D65" s="29">
        <f>_xlfn.XLOOKUP(A65,'Historical backend'!L:L,'Historical backend'!M:M)</f>
        <v>26190</v>
      </c>
      <c r="E65" s="29">
        <f t="shared" si="1"/>
        <v>3927</v>
      </c>
      <c r="F65" s="42">
        <f t="shared" si="2"/>
        <v>102848.13</v>
      </c>
      <c r="G65" s="42">
        <f t="shared" si="3"/>
        <v>102062.43</v>
      </c>
      <c r="H65" s="38">
        <f t="shared" si="4"/>
        <v>112.16380297823623</v>
      </c>
      <c r="I65" s="42">
        <f t="shared" si="0"/>
        <v>60911.19425</v>
      </c>
    </row>
    <row r="66" spans="1:9" x14ac:dyDescent="0.55000000000000004">
      <c r="A66" s="33">
        <f>'Historical backend'!G70</f>
        <v>45869</v>
      </c>
      <c r="B66" s="29">
        <f>'Historical backend'!H70</f>
        <v>370</v>
      </c>
      <c r="C66" s="29">
        <f>_xlfn.XLOOKUP(A66,'Historical backend'!B:B,'Historical backend'!C:C,_xlfn.XLOOKUP(A67,'Historical backend'!B:B,'Historical backend'!C:C))</f>
        <v>3331</v>
      </c>
      <c r="D66" s="29">
        <f>_xlfn.XLOOKUP(A66,'Historical backend'!L:L,'Historical backend'!M:M)</f>
        <v>26197</v>
      </c>
      <c r="E66" s="29">
        <f t="shared" si="1"/>
        <v>3701</v>
      </c>
      <c r="F66" s="42">
        <f t="shared" si="2"/>
        <v>96955.096999999994</v>
      </c>
      <c r="G66" s="42">
        <f t="shared" si="3"/>
        <v>96169.187000000005</v>
      </c>
      <c r="H66" s="38">
        <f t="shared" si="4"/>
        <v>337.09252967897066</v>
      </c>
      <c r="I66" s="42">
        <f t="shared" ref="I66:I129" si="5">AVERAGE(G66:G69)-$R$6</f>
        <v>58505.591750000007</v>
      </c>
    </row>
    <row r="67" spans="1:9" x14ac:dyDescent="0.55000000000000004">
      <c r="A67" s="33">
        <f>'Historical backend'!G71</f>
        <v>45862</v>
      </c>
      <c r="B67" s="29">
        <f>'Historical backend'!H71</f>
        <v>350</v>
      </c>
      <c r="C67" s="29">
        <f>_xlfn.XLOOKUP(A67,'Historical backend'!B:B,'Historical backend'!C:C,_xlfn.XLOOKUP(A68,'Historical backend'!B:B,'Historical backend'!C:C))</f>
        <v>3349</v>
      </c>
      <c r="D67" s="29">
        <f>_xlfn.XLOOKUP(A67,'Historical backend'!L:L,'Historical backend'!M:M)</f>
        <v>26110</v>
      </c>
      <c r="E67" s="29">
        <f t="shared" ref="E67:E130" si="6">C67+B67</f>
        <v>3699</v>
      </c>
      <c r="F67" s="42">
        <f t="shared" ref="F67:F130" si="7">E67*D67/1000</f>
        <v>96580.89</v>
      </c>
      <c r="G67" s="42">
        <f t="shared" ref="G67:G130" si="8">(E67-$R$2)*D67/1000</f>
        <v>95797.59</v>
      </c>
      <c r="H67" s="38">
        <f t="shared" ref="H67:H130" si="9">($R$4-G67)/D67*1000</f>
        <v>352.44772117962481</v>
      </c>
      <c r="I67" s="42">
        <f t="shared" si="5"/>
        <v>59309.913750000007</v>
      </c>
    </row>
    <row r="68" spans="1:9" x14ac:dyDescent="0.55000000000000004">
      <c r="A68" s="33">
        <f>'Historical backend'!G72</f>
        <v>45855</v>
      </c>
      <c r="B68" s="29">
        <f>'Historical backend'!H72</f>
        <v>300</v>
      </c>
      <c r="C68" s="29">
        <f>_xlfn.XLOOKUP(A68,'Historical backend'!B:B,'Historical backend'!C:C,_xlfn.XLOOKUP(A69,'Historical backend'!B:B,'Historical backend'!C:C))</f>
        <v>3312</v>
      </c>
      <c r="D68" s="29">
        <f>_xlfn.XLOOKUP(A68,'Historical backend'!L:L,'Historical backend'!M:M)</f>
        <v>26135</v>
      </c>
      <c r="E68" s="29">
        <f t="shared" si="6"/>
        <v>3612</v>
      </c>
      <c r="F68" s="42">
        <f t="shared" si="7"/>
        <v>94399.62</v>
      </c>
      <c r="G68" s="42">
        <f t="shared" si="8"/>
        <v>93615.57</v>
      </c>
      <c r="H68" s="38">
        <f t="shared" si="9"/>
        <v>435.60091830878105</v>
      </c>
      <c r="I68" s="42">
        <f t="shared" si="5"/>
        <v>60383.891250000015</v>
      </c>
    </row>
    <row r="69" spans="1:9" x14ac:dyDescent="0.55000000000000004">
      <c r="A69" s="33">
        <f>'Historical backend'!G73</f>
        <v>45848</v>
      </c>
      <c r="B69" s="29">
        <f>'Historical backend'!H73</f>
        <v>250</v>
      </c>
      <c r="C69" s="29">
        <f>_xlfn.XLOOKUP(A69,'Historical backend'!B:B,'Historical backend'!C:C,_xlfn.XLOOKUP(A70,'Historical backend'!B:B,'Historical backend'!C:C))</f>
        <v>3320</v>
      </c>
      <c r="D69" s="29">
        <f>_xlfn.XLOOKUP(A69,'Historical backend'!L:L,'Historical backend'!M:M)</f>
        <v>26113</v>
      </c>
      <c r="E69" s="29">
        <f t="shared" si="6"/>
        <v>3570</v>
      </c>
      <c r="F69" s="42">
        <f t="shared" si="7"/>
        <v>93223.41</v>
      </c>
      <c r="G69" s="42">
        <f t="shared" si="8"/>
        <v>92440.02</v>
      </c>
      <c r="H69" s="38">
        <f t="shared" si="9"/>
        <v>480.98571592693281</v>
      </c>
      <c r="I69" s="42">
        <f t="shared" si="5"/>
        <v>63018.099000000002</v>
      </c>
    </row>
    <row r="70" spans="1:9" x14ac:dyDescent="0.55000000000000004">
      <c r="A70" s="33">
        <f>'Historical backend'!G74</f>
        <v>45841</v>
      </c>
      <c r="B70" s="29">
        <f>'Historical backend'!H74</f>
        <v>200</v>
      </c>
      <c r="C70" s="29">
        <f>_xlfn.XLOOKUP(A70,'Historical backend'!B:B,'Historical backend'!C:C,_xlfn.XLOOKUP(A71,'Historical backend'!B:B,'Historical backend'!C:C))</f>
        <v>3627</v>
      </c>
      <c r="D70" s="29">
        <f>_xlfn.XLOOKUP(A70,'Historical backend'!L:L,'Historical backend'!M:M)</f>
        <v>26175</v>
      </c>
      <c r="E70" s="29">
        <f t="shared" si="6"/>
        <v>3827</v>
      </c>
      <c r="F70" s="42">
        <f t="shared" si="7"/>
        <v>100171.72500000001</v>
      </c>
      <c r="G70" s="42">
        <f t="shared" si="8"/>
        <v>99386.475000000006</v>
      </c>
      <c r="H70" s="38">
        <f t="shared" si="9"/>
        <v>214.46131805157569</v>
      </c>
      <c r="I70" s="42">
        <f t="shared" si="5"/>
        <v>68621.16399999999</v>
      </c>
    </row>
    <row r="71" spans="1:9" x14ac:dyDescent="0.55000000000000004">
      <c r="A71" s="33">
        <f>'Historical backend'!G75</f>
        <v>45834</v>
      </c>
      <c r="B71" s="29">
        <f>'Historical backend'!H75</f>
        <v>200</v>
      </c>
      <c r="C71" s="29">
        <f>_xlfn.XLOOKUP(A71,'Historical backend'!B:B,'Historical backend'!C:C,_xlfn.XLOOKUP(A72,'Historical backend'!B:B,'Historical backend'!C:C))</f>
        <v>3665</v>
      </c>
      <c r="D71" s="29">
        <f>_xlfn.XLOOKUP(A71,'Historical backend'!L:L,'Historical backend'!M:M)</f>
        <v>26100</v>
      </c>
      <c r="E71" s="29">
        <f t="shared" si="6"/>
        <v>3865</v>
      </c>
      <c r="F71" s="42">
        <f t="shared" si="7"/>
        <v>100876.5</v>
      </c>
      <c r="G71" s="42">
        <f t="shared" si="8"/>
        <v>100093.5</v>
      </c>
      <c r="H71" s="38">
        <f t="shared" si="9"/>
        <v>187.98850574712645</v>
      </c>
      <c r="I71" s="42">
        <f t="shared" si="5"/>
        <v>73380.67525</v>
      </c>
    </row>
    <row r="72" spans="1:9" x14ac:dyDescent="0.55000000000000004">
      <c r="A72" s="33">
        <f>'Historical backend'!G76</f>
        <v>45827</v>
      </c>
      <c r="B72" s="29">
        <f>'Historical backend'!H76</f>
        <v>130</v>
      </c>
      <c r="C72" s="29">
        <f>_xlfn.XLOOKUP(A72,'Historical backend'!B:B,'Historical backend'!C:C,_xlfn.XLOOKUP(A73,'Historical backend'!B:B,'Historical backend'!C:C))</f>
        <v>3887</v>
      </c>
      <c r="D72" s="29">
        <f>_xlfn.XLOOKUP(A72,'Historical backend'!L:L,'Historical backend'!M:M)</f>
        <v>26123</v>
      </c>
      <c r="E72" s="29">
        <f t="shared" si="6"/>
        <v>4017</v>
      </c>
      <c r="F72" s="42">
        <f t="shared" si="7"/>
        <v>104936.091</v>
      </c>
      <c r="G72" s="42">
        <f t="shared" si="8"/>
        <v>104152.401</v>
      </c>
      <c r="H72" s="38">
        <f t="shared" si="9"/>
        <v>32.446464801133175</v>
      </c>
      <c r="I72" s="42">
        <f t="shared" si="5"/>
        <v>78433.350250000003</v>
      </c>
    </row>
    <row r="73" spans="1:9" x14ac:dyDescent="0.55000000000000004">
      <c r="A73" s="33">
        <f>'Historical backend'!G77</f>
        <v>45820</v>
      </c>
      <c r="B73" s="29">
        <f>'Historical backend'!H77</f>
        <v>130</v>
      </c>
      <c r="C73" s="29">
        <f>_xlfn.XLOOKUP(A73,'Historical backend'!B:B,'Historical backend'!C:C,_xlfn.XLOOKUP(A74,'Historical backend'!B:B,'Historical backend'!C:C))</f>
        <v>4314</v>
      </c>
      <c r="D73" s="29">
        <f>_xlfn.XLOOKUP(A73,'Historical backend'!L:L,'Historical backend'!M:M)</f>
        <v>26020</v>
      </c>
      <c r="E73" s="29">
        <f t="shared" si="6"/>
        <v>4444</v>
      </c>
      <c r="F73" s="42">
        <f t="shared" si="7"/>
        <v>115632.88</v>
      </c>
      <c r="G73" s="42">
        <f t="shared" si="8"/>
        <v>114852.28</v>
      </c>
      <c r="H73" s="38">
        <f t="shared" si="9"/>
        <v>-378.64258262874705</v>
      </c>
      <c r="I73" s="42">
        <f t="shared" si="5"/>
        <v>84357.827499999999</v>
      </c>
    </row>
    <row r="74" spans="1:9" x14ac:dyDescent="0.55000000000000004">
      <c r="A74" s="33">
        <f>'Historical backend'!G78</f>
        <v>45813</v>
      </c>
      <c r="B74" s="29">
        <f>'Historical backend'!H78</f>
        <v>130</v>
      </c>
      <c r="C74" s="29">
        <f>_xlfn.XLOOKUP(A74,'Historical backend'!B:B,'Historical backend'!C:C,_xlfn.XLOOKUP(A75,'Historical backend'!B:B,'Historical backend'!C:C))</f>
        <v>4445</v>
      </c>
      <c r="D74" s="29">
        <f>_xlfn.XLOOKUP(A74,'Historical backend'!L:L,'Historical backend'!M:M)</f>
        <v>26056</v>
      </c>
      <c r="E74" s="29">
        <f t="shared" si="6"/>
        <v>4575</v>
      </c>
      <c r="F74" s="42">
        <f t="shared" si="7"/>
        <v>119206.2</v>
      </c>
      <c r="G74" s="42">
        <f t="shared" si="8"/>
        <v>118424.52</v>
      </c>
      <c r="H74" s="38">
        <f t="shared" si="9"/>
        <v>-515.21799201719386</v>
      </c>
      <c r="I74" s="42">
        <f t="shared" si="5"/>
        <v>88375.237500000003</v>
      </c>
    </row>
    <row r="75" spans="1:9" x14ac:dyDescent="0.55000000000000004">
      <c r="A75" s="33">
        <f>'Historical backend'!G79</f>
        <v>45805</v>
      </c>
      <c r="B75" s="29">
        <f>'Historical backend'!H79</f>
        <v>100</v>
      </c>
      <c r="C75" s="29">
        <f>_xlfn.XLOOKUP(A75,'Historical backend'!B:B,'Historical backend'!C:C,_xlfn.XLOOKUP(A76,'Historical backend'!B:B,'Historical backend'!C:C))</f>
        <v>4566</v>
      </c>
      <c r="D75" s="29">
        <f>_xlfn.XLOOKUP(A75,'Historical backend'!L:L,'Historical backend'!M:M)</f>
        <v>25950</v>
      </c>
      <c r="E75" s="29">
        <f t="shared" si="6"/>
        <v>4666</v>
      </c>
      <c r="F75" s="42">
        <f t="shared" si="7"/>
        <v>121082.7</v>
      </c>
      <c r="G75" s="42">
        <f t="shared" si="8"/>
        <v>120304.2</v>
      </c>
      <c r="H75" s="38">
        <f t="shared" si="9"/>
        <v>-589.75722543352595</v>
      </c>
      <c r="I75" s="42">
        <f t="shared" si="5"/>
        <v>93513.479500000001</v>
      </c>
    </row>
    <row r="76" spans="1:9" x14ac:dyDescent="0.55000000000000004">
      <c r="A76" s="33">
        <f>'Historical backend'!G80</f>
        <v>45798</v>
      </c>
      <c r="B76" s="29">
        <f>'Historical backend'!H80</f>
        <v>50</v>
      </c>
      <c r="C76" s="29">
        <f>_xlfn.XLOOKUP(A76,'Historical backend'!B:B,'Historical backend'!C:C,_xlfn.XLOOKUP(A77,'Historical backend'!B:B,'Historical backend'!C:C))</f>
        <v>4903</v>
      </c>
      <c r="D76" s="29">
        <f>_xlfn.XLOOKUP(A76,'Historical backend'!L:L,'Historical backend'!M:M)</f>
        <v>25970</v>
      </c>
      <c r="E76" s="29">
        <f t="shared" si="6"/>
        <v>4953</v>
      </c>
      <c r="F76" s="42">
        <f t="shared" si="7"/>
        <v>128629.41</v>
      </c>
      <c r="G76" s="42">
        <f t="shared" si="8"/>
        <v>127850.31</v>
      </c>
      <c r="H76" s="38">
        <f t="shared" si="9"/>
        <v>-879.87331536388137</v>
      </c>
      <c r="I76" s="42">
        <f t="shared" si="5"/>
        <v>99283.334499999997</v>
      </c>
    </row>
    <row r="77" spans="1:9" x14ac:dyDescent="0.55000000000000004">
      <c r="A77" s="33">
        <f>'Historical backend'!G81</f>
        <v>45792</v>
      </c>
      <c r="B77" s="29">
        <f>'Historical backend'!H81</f>
        <v>110</v>
      </c>
      <c r="C77" s="29">
        <f>_xlfn.XLOOKUP(A77,'Historical backend'!B:B,'Historical backend'!C:C,_xlfn.XLOOKUP(A78,'Historical backend'!B:B,'Historical backend'!C:C))</f>
        <v>4971</v>
      </c>
      <c r="D77" s="29">
        <f>_xlfn.XLOOKUP(A77,'Historical backend'!L:L,'Historical backend'!M:M)</f>
        <v>25920</v>
      </c>
      <c r="E77" s="29">
        <f t="shared" si="6"/>
        <v>5081</v>
      </c>
      <c r="F77" s="42">
        <f t="shared" si="7"/>
        <v>131699.51999999999</v>
      </c>
      <c r="G77" s="42">
        <f t="shared" si="8"/>
        <v>130921.92</v>
      </c>
      <c r="H77" s="38">
        <f t="shared" si="9"/>
        <v>-1000.0740740740741</v>
      </c>
      <c r="I77" s="42">
        <f t="shared" si="5"/>
        <v>103737.63750000001</v>
      </c>
    </row>
    <row r="78" spans="1:9" x14ac:dyDescent="0.55000000000000004">
      <c r="A78" s="33">
        <f>'Historical backend'!G82</f>
        <v>45783</v>
      </c>
      <c r="B78" s="29">
        <f>'Historical backend'!H82</f>
        <v>130</v>
      </c>
      <c r="C78" s="29">
        <f>_xlfn.XLOOKUP(A78,'Historical backend'!B:B,'Historical backend'!C:C,_xlfn.XLOOKUP(A79,'Historical backend'!B:B,'Historical backend'!C:C))</f>
        <v>5256</v>
      </c>
      <c r="D78" s="29">
        <f>_xlfn.XLOOKUP(A78,'Historical backend'!L:L,'Historical backend'!M:M)</f>
        <v>25948</v>
      </c>
      <c r="E78" s="29">
        <f t="shared" si="6"/>
        <v>5386</v>
      </c>
      <c r="F78" s="42">
        <f t="shared" si="7"/>
        <v>139755.92800000001</v>
      </c>
      <c r="G78" s="42">
        <f t="shared" si="8"/>
        <v>138977.48800000001</v>
      </c>
      <c r="H78" s="38">
        <f t="shared" si="9"/>
        <v>-1309.4453522429478</v>
      </c>
      <c r="I78" s="42">
        <f t="shared" si="5"/>
        <v>105932.32225</v>
      </c>
    </row>
    <row r="79" spans="1:9" x14ac:dyDescent="0.55000000000000004">
      <c r="A79" s="33">
        <f>'Historical backend'!G83</f>
        <v>45777</v>
      </c>
      <c r="B79" s="29">
        <f>'Historical backend'!H83</f>
        <v>180</v>
      </c>
      <c r="C79" s="29">
        <f>_xlfn.XLOOKUP(A79,'Historical backend'!B:B,'Historical backend'!C:C,_xlfn.XLOOKUP(A80,'Historical backend'!B:B,'Historical backend'!C:C))</f>
        <v>5369</v>
      </c>
      <c r="D79" s="29">
        <f>_xlfn.XLOOKUP(A79,'Historical backend'!L:L,'Historical backend'!M:M)</f>
        <v>25980</v>
      </c>
      <c r="E79" s="29">
        <f t="shared" si="6"/>
        <v>5549</v>
      </c>
      <c r="F79" s="42">
        <f t="shared" si="7"/>
        <v>144163.01999999999</v>
      </c>
      <c r="G79" s="42">
        <f t="shared" si="8"/>
        <v>143383.62</v>
      </c>
      <c r="H79" s="38">
        <f t="shared" si="9"/>
        <v>-1477.4295612009237</v>
      </c>
      <c r="I79" s="42">
        <f t="shared" si="5"/>
        <v>103401.56024999998</v>
      </c>
    </row>
    <row r="80" spans="1:9" x14ac:dyDescent="0.55000000000000004">
      <c r="A80" s="33">
        <f>'Historical backend'!G84</f>
        <v>45771</v>
      </c>
      <c r="B80" s="29">
        <f>'Historical backend'!H84</f>
        <v>200</v>
      </c>
      <c r="C80" s="29">
        <f>_xlfn.XLOOKUP(A80,'Historical backend'!B:B,'Historical backend'!C:C,_xlfn.XLOOKUP(A81,'Historical backend'!B:B,'Historical backend'!C:C))</f>
        <v>5427</v>
      </c>
      <c r="D80" s="29">
        <f>_xlfn.XLOOKUP(A80,'Historical backend'!L:L,'Historical backend'!M:M)</f>
        <v>26026</v>
      </c>
      <c r="E80" s="29">
        <f t="shared" si="6"/>
        <v>5627</v>
      </c>
      <c r="F80" s="42">
        <f t="shared" si="7"/>
        <v>146448.302</v>
      </c>
      <c r="G80" s="42">
        <f t="shared" si="8"/>
        <v>145667.522</v>
      </c>
      <c r="H80" s="38">
        <f t="shared" si="9"/>
        <v>-1562.5728886498116</v>
      </c>
      <c r="I80" s="42">
        <f t="shared" si="5"/>
        <v>102875.06024999998</v>
      </c>
    </row>
    <row r="81" spans="1:9" x14ac:dyDescent="0.55000000000000004">
      <c r="A81" s="33">
        <f>'Historical backend'!G85</f>
        <v>45764</v>
      </c>
      <c r="B81" s="29">
        <f>'Historical backend'!H85</f>
        <v>160</v>
      </c>
      <c r="C81" s="29">
        <f>_xlfn.XLOOKUP(A81,'Historical backend'!B:B,'Historical backend'!C:C,_xlfn.XLOOKUP(A82,'Historical backend'!B:B,'Historical backend'!C:C))</f>
        <v>5277</v>
      </c>
      <c r="D81" s="29">
        <f>_xlfn.XLOOKUP(A81,'Historical backend'!L:L,'Historical backend'!M:M)</f>
        <v>25837</v>
      </c>
      <c r="E81" s="29">
        <f t="shared" si="6"/>
        <v>5437</v>
      </c>
      <c r="F81" s="42">
        <f t="shared" si="7"/>
        <v>140475.769</v>
      </c>
      <c r="G81" s="42">
        <f t="shared" si="8"/>
        <v>139700.65900000001</v>
      </c>
      <c r="H81" s="38">
        <f t="shared" si="9"/>
        <v>-1343.0606881603906</v>
      </c>
      <c r="I81" s="42">
        <f t="shared" si="5"/>
        <v>101290.06975000002</v>
      </c>
    </row>
    <row r="82" spans="1:9" x14ac:dyDescent="0.55000000000000004">
      <c r="A82" s="33">
        <f>'Historical backend'!G86</f>
        <v>45757</v>
      </c>
      <c r="B82" s="29">
        <f>'Historical backend'!H86</f>
        <v>140</v>
      </c>
      <c r="C82" s="29">
        <f>_xlfn.XLOOKUP(A82,'Historical backend'!B:B,'Historical backend'!C:C,_xlfn.XLOOKUP(A83,'Historical backend'!B:B,'Historical backend'!C:C))</f>
        <v>4896</v>
      </c>
      <c r="D82" s="29">
        <f>_xlfn.XLOOKUP(A82,'Historical backend'!L:L,'Historical backend'!M:M)</f>
        <v>25740</v>
      </c>
      <c r="E82" s="29">
        <f t="shared" si="6"/>
        <v>5036</v>
      </c>
      <c r="F82" s="42">
        <f t="shared" si="7"/>
        <v>129626.64</v>
      </c>
      <c r="G82" s="42">
        <f t="shared" si="8"/>
        <v>128854.44</v>
      </c>
      <c r="H82" s="38">
        <f t="shared" si="9"/>
        <v>-926.7459207459209</v>
      </c>
      <c r="I82" s="42">
        <f t="shared" si="5"/>
        <v>101597.84625</v>
      </c>
    </row>
    <row r="83" spans="1:9" x14ac:dyDescent="0.55000000000000004">
      <c r="A83" s="33">
        <f>'Historical backend'!G87</f>
        <v>45750</v>
      </c>
      <c r="B83" s="29">
        <f>'Historical backend'!H87</f>
        <v>120</v>
      </c>
      <c r="C83" s="29">
        <f>_xlfn.XLOOKUP(A83,'Historical backend'!B:B,'Historical backend'!C:C,_xlfn.XLOOKUP(A84,'Historical backend'!B:B,'Historical backend'!C:C))</f>
        <v>5388</v>
      </c>
      <c r="D83" s="29">
        <f>_xlfn.XLOOKUP(A83,'Historical backend'!L:L,'Historical backend'!M:M)</f>
        <v>25790</v>
      </c>
      <c r="E83" s="29">
        <f t="shared" si="6"/>
        <v>5508</v>
      </c>
      <c r="F83" s="42">
        <f t="shared" si="7"/>
        <v>142051.32</v>
      </c>
      <c r="G83" s="42">
        <f t="shared" si="8"/>
        <v>141277.62</v>
      </c>
      <c r="H83" s="38">
        <f t="shared" si="9"/>
        <v>-1406.6545172547499</v>
      </c>
      <c r="I83" s="42">
        <f t="shared" si="5"/>
        <v>104356.51624999999</v>
      </c>
    </row>
    <row r="84" spans="1:9" x14ac:dyDescent="0.55000000000000004">
      <c r="A84" s="33">
        <f>'Historical backend'!G88</f>
        <v>45743</v>
      </c>
      <c r="B84" s="29">
        <f>'Historical backend'!H88</f>
        <v>120</v>
      </c>
      <c r="C84" s="29">
        <f>_xlfn.XLOOKUP(A84,'Historical backend'!B:B,'Historical backend'!C:C,_xlfn.XLOOKUP(A85,'Historical backend'!B:B,'Historical backend'!C:C))</f>
        <v>5361</v>
      </c>
      <c r="D84" s="29">
        <f>_xlfn.XLOOKUP(A84,'Historical backend'!L:L,'Historical backend'!M:M)</f>
        <v>25560</v>
      </c>
      <c r="E84" s="29">
        <f t="shared" si="6"/>
        <v>5481</v>
      </c>
      <c r="F84" s="42">
        <f t="shared" si="7"/>
        <v>140094.35999999999</v>
      </c>
      <c r="G84" s="42">
        <f t="shared" si="8"/>
        <v>139327.56</v>
      </c>
      <c r="H84" s="38">
        <f t="shared" si="9"/>
        <v>-1343.0187793427228</v>
      </c>
      <c r="I84" s="42">
        <f t="shared" si="5"/>
        <v>103295.32250000001</v>
      </c>
    </row>
    <row r="85" spans="1:9" x14ac:dyDescent="0.55000000000000004">
      <c r="A85" s="33">
        <f>'Historical backend'!G89</f>
        <v>45736</v>
      </c>
      <c r="B85" s="29">
        <f>'Historical backend'!H89</f>
        <v>50</v>
      </c>
      <c r="C85" s="29">
        <f>_xlfn.XLOOKUP(A85,'Historical backend'!B:B,'Historical backend'!C:C,_xlfn.XLOOKUP(A86,'Historical backend'!B:B,'Historical backend'!C:C))</f>
        <v>5497</v>
      </c>
      <c r="D85" s="29">
        <f>_xlfn.XLOOKUP(A85,'Historical backend'!L:L,'Historical backend'!M:M)</f>
        <v>25545</v>
      </c>
      <c r="E85" s="29">
        <f t="shared" si="6"/>
        <v>5547</v>
      </c>
      <c r="F85" s="42">
        <f t="shared" si="7"/>
        <v>141698.11499999999</v>
      </c>
      <c r="G85" s="42">
        <f t="shared" si="8"/>
        <v>140931.76500000001</v>
      </c>
      <c r="H85" s="38">
        <f t="shared" si="9"/>
        <v>-1406.606576629478</v>
      </c>
      <c r="I85" s="42">
        <f t="shared" si="5"/>
        <v>102443.3125</v>
      </c>
    </row>
    <row r="86" spans="1:9" x14ac:dyDescent="0.55000000000000004">
      <c r="A86" s="33">
        <f>'Historical backend'!G90</f>
        <v>45729</v>
      </c>
      <c r="B86" s="29">
        <f>'Historical backend'!H90</f>
        <v>-10</v>
      </c>
      <c r="C86" s="29">
        <f>_xlfn.XLOOKUP(A86,'Historical backend'!B:B,'Historical backend'!C:C,_xlfn.XLOOKUP(A87,'Historical backend'!B:B,'Historical backend'!C:C))</f>
        <v>5528</v>
      </c>
      <c r="D86" s="29">
        <f>_xlfn.XLOOKUP(A86,'Historical backend'!L:L,'Historical backend'!M:M)</f>
        <v>25490</v>
      </c>
      <c r="E86" s="29">
        <f t="shared" si="6"/>
        <v>5518</v>
      </c>
      <c r="F86" s="42">
        <f t="shared" si="7"/>
        <v>140653.82</v>
      </c>
      <c r="G86" s="42">
        <f t="shared" si="8"/>
        <v>139889.12</v>
      </c>
      <c r="H86" s="38">
        <f t="shared" si="9"/>
        <v>-1368.7375441349548</v>
      </c>
      <c r="I86" s="42">
        <f t="shared" si="5"/>
        <v>102559.74625</v>
      </c>
    </row>
    <row r="87" spans="1:9" x14ac:dyDescent="0.55000000000000004">
      <c r="A87" s="33">
        <f>'Historical backend'!G91</f>
        <v>45722</v>
      </c>
      <c r="B87" s="29">
        <f>'Historical backend'!H91</f>
        <v>-20</v>
      </c>
      <c r="C87" s="29">
        <f>_xlfn.XLOOKUP(A87,'Historical backend'!B:B,'Historical backend'!C:C,_xlfn.XLOOKUP(A88,'Historical backend'!B:B,'Historical backend'!C:C))</f>
        <v>5427</v>
      </c>
      <c r="D87" s="29">
        <f>_xlfn.XLOOKUP(A87,'Historical backend'!L:L,'Historical backend'!M:M)</f>
        <v>25485</v>
      </c>
      <c r="E87" s="29">
        <f t="shared" si="6"/>
        <v>5407</v>
      </c>
      <c r="F87" s="42">
        <f t="shared" si="7"/>
        <v>137797.39499999999</v>
      </c>
      <c r="G87" s="42">
        <f t="shared" si="8"/>
        <v>137032.845</v>
      </c>
      <c r="H87" s="38">
        <f t="shared" si="9"/>
        <v>-1256.9293702177754</v>
      </c>
      <c r="I87" s="42">
        <f t="shared" si="5"/>
        <v>104462.74625</v>
      </c>
    </row>
    <row r="88" spans="1:9" x14ac:dyDescent="0.55000000000000004">
      <c r="A88" s="33">
        <f>'Historical backend'!G92</f>
        <v>45715</v>
      </c>
      <c r="B88" s="29">
        <f>'Historical backend'!H92</f>
        <v>-20</v>
      </c>
      <c r="C88" s="29">
        <f>_xlfn.XLOOKUP(A88,'Historical backend'!B:B,'Historical backend'!C:C,_xlfn.XLOOKUP(A89,'Historical backend'!B:B,'Historical backend'!C:C))</f>
        <v>5376</v>
      </c>
      <c r="D88" s="29">
        <f>_xlfn.XLOOKUP(A88,'Historical backend'!L:L,'Historical backend'!M:M)</f>
        <v>25520</v>
      </c>
      <c r="E88" s="29">
        <f t="shared" si="6"/>
        <v>5356</v>
      </c>
      <c r="F88" s="42">
        <f t="shared" si="7"/>
        <v>136685.12</v>
      </c>
      <c r="G88" s="42">
        <f t="shared" si="8"/>
        <v>135919.51999999999</v>
      </c>
      <c r="H88" s="38">
        <f t="shared" si="9"/>
        <v>-1211.5799373040747</v>
      </c>
      <c r="I88" s="42">
        <f t="shared" si="5"/>
        <v>105922.17499999999</v>
      </c>
    </row>
    <row r="89" spans="1:9" x14ac:dyDescent="0.55000000000000004">
      <c r="A89" s="33">
        <f>'Historical backend'!G93</f>
        <v>45708</v>
      </c>
      <c r="B89" s="29">
        <f>'Historical backend'!H93</f>
        <v>-80</v>
      </c>
      <c r="C89" s="29">
        <f>_xlfn.XLOOKUP(A89,'Historical backend'!B:B,'Historical backend'!C:C,_xlfn.XLOOKUP(A90,'Historical backend'!B:B,'Historical backend'!C:C))</f>
        <v>5655</v>
      </c>
      <c r="D89" s="29">
        <f>_xlfn.XLOOKUP(A89,'Historical backend'!L:L,'Historical backend'!M:M)</f>
        <v>25500</v>
      </c>
      <c r="E89" s="29">
        <f t="shared" si="6"/>
        <v>5575</v>
      </c>
      <c r="F89" s="42">
        <f t="shared" si="7"/>
        <v>142162.5</v>
      </c>
      <c r="G89" s="42">
        <f t="shared" si="8"/>
        <v>141397.5</v>
      </c>
      <c r="H89" s="38">
        <f t="shared" si="9"/>
        <v>-1427.3529411764705</v>
      </c>
      <c r="I89" s="42">
        <f t="shared" si="5"/>
        <v>107771.83000000002</v>
      </c>
    </row>
    <row r="90" spans="1:9" x14ac:dyDescent="0.55000000000000004">
      <c r="A90" s="33">
        <f>'Historical backend'!G94</f>
        <v>45701</v>
      </c>
      <c r="B90" s="29">
        <f>'Historical backend'!H94</f>
        <v>40</v>
      </c>
      <c r="C90" s="29">
        <f>_xlfn.XLOOKUP(A90,'Historical backend'!B:B,'Historical backend'!C:C,_xlfn.XLOOKUP(A91,'Historical backend'!B:B,'Historical backend'!C:C))</f>
        <v>5788</v>
      </c>
      <c r="D90" s="29">
        <f>_xlfn.XLOOKUP(A90,'Historical backend'!L:L,'Historical backend'!M:M)</f>
        <v>25440</v>
      </c>
      <c r="E90" s="29">
        <f t="shared" si="6"/>
        <v>5828</v>
      </c>
      <c r="F90" s="42">
        <f t="shared" si="7"/>
        <v>148264.32000000001</v>
      </c>
      <c r="G90" s="42">
        <f t="shared" si="8"/>
        <v>147501.12</v>
      </c>
      <c r="H90" s="38">
        <f t="shared" si="9"/>
        <v>-1670.6415094339623</v>
      </c>
      <c r="I90" s="42">
        <f t="shared" si="5"/>
        <v>106857.29499999998</v>
      </c>
    </row>
    <row r="91" spans="1:9" x14ac:dyDescent="0.55000000000000004">
      <c r="A91" s="33">
        <f>'Historical backend'!G95</f>
        <v>45694</v>
      </c>
      <c r="B91" s="29">
        <f>'Historical backend'!H95</f>
        <v>40</v>
      </c>
      <c r="C91" s="29">
        <f>_xlfn.XLOOKUP(A91,'Historical backend'!B:B,'Historical backend'!C:C,_xlfn.XLOOKUP(A92,'Historical backend'!B:B,'Historical backend'!C:C))</f>
        <v>5646</v>
      </c>
      <c r="D91" s="29">
        <f>_xlfn.XLOOKUP(A91,'Historical backend'!L:L,'Historical backend'!M:M)</f>
        <v>25260</v>
      </c>
      <c r="E91" s="29">
        <f t="shared" si="6"/>
        <v>5686</v>
      </c>
      <c r="F91" s="42">
        <f t="shared" si="7"/>
        <v>143628.35999999999</v>
      </c>
      <c r="G91" s="42">
        <f t="shared" si="8"/>
        <v>142870.56</v>
      </c>
      <c r="H91" s="38">
        <f t="shared" si="9"/>
        <v>-1499.230403800475</v>
      </c>
      <c r="I91" s="42">
        <f t="shared" si="5"/>
        <v>101053.92249999999</v>
      </c>
    </row>
    <row r="92" spans="1:9" x14ac:dyDescent="0.55000000000000004">
      <c r="A92" s="33">
        <f>'Historical backend'!G96</f>
        <v>45687</v>
      </c>
      <c r="B92" s="29">
        <f>'Historical backend'!H96</f>
        <v>40</v>
      </c>
      <c r="C92" s="29">
        <f>_xlfn.XLOOKUP(A92,'Historical backend'!B:B,'Historical backend'!C:C,_xlfn.XLOOKUP(A93,'Historical backend'!B:B,'Historical backend'!C:C))</f>
        <v>5709</v>
      </c>
      <c r="D92" s="29">
        <f>_xlfn.XLOOKUP(A92,'Historical backend'!L:L,'Historical backend'!M:M)</f>
        <v>25060</v>
      </c>
      <c r="E92" s="29">
        <f t="shared" si="6"/>
        <v>5749</v>
      </c>
      <c r="F92" s="42">
        <f t="shared" si="7"/>
        <v>144069.94</v>
      </c>
      <c r="G92" s="42">
        <f t="shared" si="8"/>
        <v>143318.14000000001</v>
      </c>
      <c r="H92" s="38">
        <f t="shared" si="9"/>
        <v>-1529.0558659217884</v>
      </c>
      <c r="I92" s="42">
        <f t="shared" si="5"/>
        <v>97048.688750000001</v>
      </c>
    </row>
    <row r="93" spans="1:9" x14ac:dyDescent="0.55000000000000004">
      <c r="A93" s="33">
        <f>'Historical backend'!G97</f>
        <v>45680</v>
      </c>
      <c r="B93" s="29">
        <f>'Historical backend'!H97</f>
        <v>40</v>
      </c>
      <c r="C93" s="29">
        <f>_xlfn.XLOOKUP(A93,'Historical backend'!B:B,'Historical backend'!C:C,_xlfn.XLOOKUP(A94,'Historical backend'!B:B,'Historical backend'!C:C))</f>
        <v>5482</v>
      </c>
      <c r="D93" s="29">
        <f>_xlfn.XLOOKUP(A93,'Historical backend'!L:L,'Historical backend'!M:M)</f>
        <v>25080</v>
      </c>
      <c r="E93" s="29">
        <f t="shared" si="6"/>
        <v>5522</v>
      </c>
      <c r="F93" s="42">
        <f t="shared" si="7"/>
        <v>138491.76</v>
      </c>
      <c r="G93" s="42">
        <f t="shared" si="8"/>
        <v>137739.35999999999</v>
      </c>
      <c r="H93" s="38">
        <f t="shared" si="9"/>
        <v>-1305.3971291866021</v>
      </c>
      <c r="I93" s="42">
        <f t="shared" si="5"/>
        <v>93706.078750000001</v>
      </c>
    </row>
    <row r="94" spans="1:9" x14ac:dyDescent="0.55000000000000004">
      <c r="A94" s="33">
        <f>'Historical backend'!G98</f>
        <v>45673</v>
      </c>
      <c r="B94" s="29">
        <f>'Historical backend'!H98</f>
        <v>40</v>
      </c>
      <c r="C94" s="29">
        <f>_xlfn.XLOOKUP(A94,'Historical backend'!B:B,'Historical backend'!C:C,_xlfn.XLOOKUP(A95,'Historical backend'!B:B,'Historical backend'!C:C))</f>
        <v>4889</v>
      </c>
      <c r="D94" s="29">
        <f>_xlfn.XLOOKUP(A94,'Historical backend'!L:L,'Historical backend'!M:M)</f>
        <v>25370</v>
      </c>
      <c r="E94" s="29">
        <f t="shared" si="6"/>
        <v>4929</v>
      </c>
      <c r="F94" s="42">
        <f t="shared" si="7"/>
        <v>125048.73</v>
      </c>
      <c r="G94" s="42">
        <f t="shared" si="8"/>
        <v>124287.63</v>
      </c>
      <c r="H94" s="38">
        <f t="shared" si="9"/>
        <v>-760.25344895545948</v>
      </c>
      <c r="I94" s="42">
        <f t="shared" si="5"/>
        <v>91789.813750000001</v>
      </c>
    </row>
    <row r="95" spans="1:9" x14ac:dyDescent="0.55000000000000004">
      <c r="A95" s="33">
        <f>'Historical backend'!G99</f>
        <v>45666</v>
      </c>
      <c r="B95" s="29">
        <f>'Historical backend'!H99</f>
        <v>50</v>
      </c>
      <c r="C95" s="29">
        <f>_xlfn.XLOOKUP(A95,'Historical backend'!B:B,'Historical backend'!C:C,_xlfn.XLOOKUP(A96,'Historical backend'!B:B,'Historical backend'!C:C))</f>
        <v>4979</v>
      </c>
      <c r="D95" s="29">
        <f>_xlfn.XLOOKUP(A95,'Historical backend'!L:L,'Historical backend'!M:M)</f>
        <v>25375</v>
      </c>
      <c r="E95" s="29">
        <f t="shared" si="6"/>
        <v>5029</v>
      </c>
      <c r="F95" s="42">
        <f t="shared" si="7"/>
        <v>127610.875</v>
      </c>
      <c r="G95" s="42">
        <f t="shared" si="8"/>
        <v>126849.625</v>
      </c>
      <c r="H95" s="38">
        <f t="shared" si="9"/>
        <v>-861.06896551724128</v>
      </c>
      <c r="I95" s="42">
        <f t="shared" si="5"/>
        <v>93268.456250000003</v>
      </c>
    </row>
    <row r="96" spans="1:9" x14ac:dyDescent="0.55000000000000004">
      <c r="A96" s="33">
        <f>'Historical backend'!G100</f>
        <v>45659</v>
      </c>
      <c r="B96" s="29">
        <f>'Historical backend'!H100</f>
        <v>80</v>
      </c>
      <c r="C96" s="29">
        <f>_xlfn.XLOOKUP(A96,'Historical backend'!B:B,'Historical backend'!C:C,_xlfn.XLOOKUP(A97,'Historical backend'!B:B,'Historical backend'!C:C))</f>
        <v>5056</v>
      </c>
      <c r="D96" s="29">
        <f>_xlfn.XLOOKUP(A96,'Historical backend'!L:L,'Historical backend'!M:M)</f>
        <v>25450</v>
      </c>
      <c r="E96" s="29">
        <f t="shared" si="6"/>
        <v>5136</v>
      </c>
      <c r="F96" s="42">
        <f t="shared" si="7"/>
        <v>130711.2</v>
      </c>
      <c r="G96" s="42">
        <f t="shared" si="8"/>
        <v>129947.7</v>
      </c>
      <c r="H96" s="38">
        <f t="shared" si="9"/>
        <v>-980.26326129665995</v>
      </c>
      <c r="I96" s="42">
        <f t="shared" si="5"/>
        <v>94707.917000000001</v>
      </c>
    </row>
    <row r="97" spans="1:9" x14ac:dyDescent="0.55000000000000004">
      <c r="A97" s="33">
        <f>'Historical backend'!G101</f>
        <v>45652</v>
      </c>
      <c r="B97" s="29">
        <f>'Historical backend'!H101</f>
        <v>100</v>
      </c>
      <c r="C97" s="29">
        <f>_xlfn.XLOOKUP(A97,'Historical backend'!B:B,'Historical backend'!C:C,_xlfn.XLOOKUP(A98,'Historical backend'!B:B,'Historical backend'!C:C))</f>
        <v>5046</v>
      </c>
      <c r="D97" s="29">
        <f>_xlfn.XLOOKUP(A97,'Historical backend'!L:L,'Historical backend'!M:M)</f>
        <v>25425</v>
      </c>
      <c r="E97" s="29">
        <f t="shared" si="6"/>
        <v>5146</v>
      </c>
      <c r="F97" s="42">
        <f t="shared" si="7"/>
        <v>130837.05</v>
      </c>
      <c r="G97" s="42">
        <f t="shared" si="8"/>
        <v>130074.3</v>
      </c>
      <c r="H97" s="38">
        <f t="shared" si="9"/>
        <v>-986.20648967551642</v>
      </c>
      <c r="I97" s="42">
        <f t="shared" si="5"/>
        <v>93457.426999999996</v>
      </c>
    </row>
    <row r="98" spans="1:9" x14ac:dyDescent="0.55000000000000004">
      <c r="A98" s="33">
        <f>'Historical backend'!G102</f>
        <v>45645</v>
      </c>
      <c r="B98" s="29">
        <f>'Historical backend'!H102</f>
        <v>100</v>
      </c>
      <c r="C98" s="29">
        <f>_xlfn.XLOOKUP(A98,'Historical backend'!B:B,'Historical backend'!C:C,_xlfn.XLOOKUP(A99,'Historical backend'!B:B,'Historical backend'!C:C))</f>
        <v>5046</v>
      </c>
      <c r="D98" s="29">
        <f>_xlfn.XLOOKUP(A98,'Historical backend'!L:L,'Historical backend'!M:M)</f>
        <v>25450</v>
      </c>
      <c r="E98" s="29">
        <f t="shared" si="6"/>
        <v>5146</v>
      </c>
      <c r="F98" s="42">
        <f t="shared" si="7"/>
        <v>130965.7</v>
      </c>
      <c r="G98" s="42">
        <f t="shared" si="8"/>
        <v>130202.2</v>
      </c>
      <c r="H98" s="38">
        <f t="shared" si="9"/>
        <v>-990.26326129665995</v>
      </c>
      <c r="I98" s="42">
        <f t="shared" si="5"/>
        <v>96427.372999999992</v>
      </c>
    </row>
    <row r="99" spans="1:9" x14ac:dyDescent="0.55000000000000004">
      <c r="A99" s="33">
        <f>'Historical backend'!G103</f>
        <v>45638</v>
      </c>
      <c r="B99" s="29">
        <f>'Historical backend'!H103</f>
        <v>100</v>
      </c>
      <c r="C99" s="29">
        <f>_xlfn.XLOOKUP(A99,'Historical backend'!B:B,'Historical backend'!C:C,_xlfn.XLOOKUP(A100,'Historical backend'!B:B,'Historical backend'!C:C))</f>
        <v>5152</v>
      </c>
      <c r="D99" s="29">
        <f>_xlfn.XLOOKUP(A99,'Historical backend'!L:L,'Historical backend'!M:M)</f>
        <v>25394</v>
      </c>
      <c r="E99" s="29">
        <f t="shared" si="6"/>
        <v>5252</v>
      </c>
      <c r="F99" s="42">
        <f t="shared" si="7"/>
        <v>133369.288</v>
      </c>
      <c r="G99" s="42">
        <f t="shared" si="8"/>
        <v>132607.46799999999</v>
      </c>
      <c r="H99" s="38">
        <f t="shared" si="9"/>
        <v>-1087.1649996062058</v>
      </c>
      <c r="I99" s="42">
        <f t="shared" si="5"/>
        <v>95499.436749999993</v>
      </c>
    </row>
    <row r="100" spans="1:9" x14ac:dyDescent="0.55000000000000004">
      <c r="A100" s="33">
        <f>'Historical backend'!G104</f>
        <v>45631</v>
      </c>
      <c r="B100" s="29">
        <f>'Historical backend'!H104</f>
        <v>80</v>
      </c>
      <c r="C100" s="29">
        <f>_xlfn.XLOOKUP(A100,'Historical backend'!B:B,'Historical backend'!C:C,_xlfn.XLOOKUP(A101,'Historical backend'!B:B,'Historical backend'!C:C))</f>
        <v>4873</v>
      </c>
      <c r="D100" s="29">
        <f>_xlfn.XLOOKUP(A100,'Historical backend'!L:L,'Historical backend'!M:M)</f>
        <v>25380</v>
      </c>
      <c r="E100" s="29">
        <f t="shared" si="6"/>
        <v>4953</v>
      </c>
      <c r="F100" s="42">
        <f t="shared" si="7"/>
        <v>125707.14</v>
      </c>
      <c r="G100" s="42">
        <f t="shared" si="8"/>
        <v>124945.74</v>
      </c>
      <c r="H100" s="38">
        <f t="shared" si="9"/>
        <v>-785.88416075650139</v>
      </c>
      <c r="I100" s="42">
        <f t="shared" si="5"/>
        <v>93875.602250000011</v>
      </c>
    </row>
    <row r="101" spans="1:9" x14ac:dyDescent="0.55000000000000004">
      <c r="A101" s="33">
        <f>'Historical backend'!G105</f>
        <v>45624</v>
      </c>
      <c r="B101" s="29">
        <f>'Historical backend'!H105</f>
        <v>100</v>
      </c>
      <c r="C101" s="29">
        <f>_xlfn.XLOOKUP(A101,'Historical backend'!B:B,'Historical backend'!C:C,_xlfn.XLOOKUP(A102,'Historical backend'!B:B,'Historical backend'!C:C))</f>
        <v>5528</v>
      </c>
      <c r="D101" s="29">
        <f>_xlfn.XLOOKUP(A101,'Historical backend'!L:L,'Historical backend'!M:M)</f>
        <v>25358</v>
      </c>
      <c r="E101" s="29">
        <f t="shared" si="6"/>
        <v>5628</v>
      </c>
      <c r="F101" s="42">
        <f t="shared" si="7"/>
        <v>142714.82399999999</v>
      </c>
      <c r="G101" s="42">
        <f t="shared" si="8"/>
        <v>141954.084</v>
      </c>
      <c r="H101" s="38">
        <f t="shared" si="9"/>
        <v>-1457.2948970739019</v>
      </c>
      <c r="I101" s="42">
        <f t="shared" si="5"/>
        <v>92463.442249999993</v>
      </c>
    </row>
    <row r="102" spans="1:9" x14ac:dyDescent="0.55000000000000004">
      <c r="A102" s="33">
        <f>'Historical backend'!G106</f>
        <v>45617</v>
      </c>
      <c r="B102" s="29">
        <f>'Historical backend'!H106</f>
        <v>220</v>
      </c>
      <c r="C102" s="29">
        <f>_xlfn.XLOOKUP(A102,'Historical backend'!B:B,'Historical backend'!C:C,_xlfn.XLOOKUP(A103,'Historical backend'!B:B,'Historical backend'!C:C))</f>
        <v>4787</v>
      </c>
      <c r="D102" s="29">
        <f>_xlfn.XLOOKUP(A102,'Historical backend'!L:L,'Historical backend'!M:M)</f>
        <v>25415</v>
      </c>
      <c r="E102" s="29">
        <f t="shared" si="6"/>
        <v>5007</v>
      </c>
      <c r="F102" s="42">
        <f t="shared" si="7"/>
        <v>127252.905</v>
      </c>
      <c r="G102" s="42">
        <f t="shared" si="8"/>
        <v>126490.455</v>
      </c>
      <c r="H102" s="38">
        <f t="shared" si="9"/>
        <v>-845.58154633090703</v>
      </c>
      <c r="I102" s="42">
        <f t="shared" si="5"/>
        <v>86913.553750000021</v>
      </c>
    </row>
    <row r="103" spans="1:9" x14ac:dyDescent="0.55000000000000004">
      <c r="A103" s="33">
        <f>'Historical backend'!G107</f>
        <v>45610</v>
      </c>
      <c r="B103" s="29">
        <f>'Historical backend'!H107</f>
        <v>220</v>
      </c>
      <c r="C103" s="29">
        <f>_xlfn.XLOOKUP(A103,'Historical backend'!B:B,'Historical backend'!C:C,_xlfn.XLOOKUP(A104,'Historical backend'!B:B,'Historical backend'!C:C))</f>
        <v>4777</v>
      </c>
      <c r="D103" s="29">
        <f>_xlfn.XLOOKUP(A103,'Historical backend'!L:L,'Historical backend'!M:M)</f>
        <v>25390</v>
      </c>
      <c r="E103" s="29">
        <f t="shared" si="6"/>
        <v>4997</v>
      </c>
      <c r="F103" s="42">
        <f t="shared" si="7"/>
        <v>126873.83</v>
      </c>
      <c r="G103" s="42">
        <f t="shared" si="8"/>
        <v>126112.13</v>
      </c>
      <c r="H103" s="38">
        <f t="shared" si="9"/>
        <v>-831.51358802678249</v>
      </c>
      <c r="I103" s="42">
        <f t="shared" si="5"/>
        <v>84845.426250000004</v>
      </c>
    </row>
    <row r="104" spans="1:9" x14ac:dyDescent="0.55000000000000004">
      <c r="A104" s="33">
        <f>'Historical backend'!G108</f>
        <v>45603</v>
      </c>
      <c r="B104" s="29">
        <f>'Historical backend'!H108</f>
        <v>250</v>
      </c>
      <c r="C104" s="29">
        <f>_xlfn.XLOOKUP(A104,'Historical backend'!B:B,'Historical backend'!C:C,_xlfn.XLOOKUP(A105,'Historical backend'!B:B,'Historical backend'!C:C))</f>
        <v>4486</v>
      </c>
      <c r="D104" s="29">
        <f>_xlfn.XLOOKUP(A104,'Historical backend'!L:L,'Historical backend'!M:M)</f>
        <v>25350</v>
      </c>
      <c r="E104" s="29">
        <f t="shared" si="6"/>
        <v>4736</v>
      </c>
      <c r="F104" s="42">
        <f t="shared" si="7"/>
        <v>120057.60000000001</v>
      </c>
      <c r="G104" s="42">
        <f t="shared" si="8"/>
        <v>119297.1</v>
      </c>
      <c r="H104" s="38">
        <f t="shared" si="9"/>
        <v>-563.98816568047357</v>
      </c>
      <c r="I104" s="42">
        <f t="shared" si="5"/>
        <v>83709.653749999998</v>
      </c>
    </row>
    <row r="105" spans="1:9" x14ac:dyDescent="0.55000000000000004">
      <c r="A105" s="33">
        <f>'Historical backend'!G109</f>
        <v>45596</v>
      </c>
      <c r="B105" s="29">
        <f>'Historical backend'!H109</f>
        <v>400</v>
      </c>
      <c r="C105" s="29">
        <f>_xlfn.XLOOKUP(A105,'Historical backend'!B:B,'Historical backend'!C:C,_xlfn.XLOOKUP(A106,'Historical backend'!B:B,'Historical backend'!C:C))</f>
        <v>4369</v>
      </c>
      <c r="D105" s="29">
        <f>_xlfn.XLOOKUP(A105,'Historical backend'!L:L,'Historical backend'!M:M)</f>
        <v>25270</v>
      </c>
      <c r="E105" s="29">
        <f t="shared" si="6"/>
        <v>4769</v>
      </c>
      <c r="F105" s="42">
        <f t="shared" si="7"/>
        <v>120512.63</v>
      </c>
      <c r="G105" s="42">
        <f t="shared" si="8"/>
        <v>119754.53</v>
      </c>
      <c r="H105" s="38">
        <f t="shared" si="9"/>
        <v>-583.87534626038769</v>
      </c>
      <c r="I105" s="42">
        <f t="shared" si="5"/>
        <v>84749.068750000006</v>
      </c>
    </row>
    <row r="106" spans="1:9" x14ac:dyDescent="0.55000000000000004">
      <c r="A106" s="33">
        <f>'Historical backend'!G110</f>
        <v>45589</v>
      </c>
      <c r="B106" s="29">
        <f>'Historical backend'!H110</f>
        <v>350</v>
      </c>
      <c r="C106" s="29">
        <f>_xlfn.XLOOKUP(A106,'Historical backend'!B:B,'Historical backend'!C:C,_xlfn.XLOOKUP(A107,'Historical backend'!B:B,'Historical backend'!C:C))</f>
        <v>4337</v>
      </c>
      <c r="D106" s="29">
        <f>_xlfn.XLOOKUP(A106,'Historical backend'!L:L,'Historical backend'!M:M)</f>
        <v>25385</v>
      </c>
      <c r="E106" s="29">
        <f t="shared" si="6"/>
        <v>4687</v>
      </c>
      <c r="F106" s="42">
        <f t="shared" si="7"/>
        <v>118979.495</v>
      </c>
      <c r="G106" s="42">
        <f t="shared" si="8"/>
        <v>118217.94500000001</v>
      </c>
      <c r="H106" s="38">
        <f t="shared" si="9"/>
        <v>-520.69903486310841</v>
      </c>
      <c r="I106" s="42">
        <f t="shared" si="5"/>
        <v>85370.511249999996</v>
      </c>
    </row>
    <row r="107" spans="1:9" x14ac:dyDescent="0.55000000000000004">
      <c r="A107" s="33">
        <f>'Historical backend'!G111</f>
        <v>45582</v>
      </c>
      <c r="B107" s="29">
        <f>'Historical backend'!H111</f>
        <v>260</v>
      </c>
      <c r="C107" s="29">
        <f>_xlfn.XLOOKUP(A107,'Historical backend'!B:B,'Historical backend'!C:C,_xlfn.XLOOKUP(A108,'Historical backend'!B:B,'Historical backend'!C:C))</f>
        <v>4598</v>
      </c>
      <c r="D107" s="29">
        <f>_xlfn.XLOOKUP(A107,'Historical backend'!L:L,'Historical backend'!M:M)</f>
        <v>25180</v>
      </c>
      <c r="E107" s="29">
        <f t="shared" si="6"/>
        <v>4858</v>
      </c>
      <c r="F107" s="42">
        <f t="shared" si="7"/>
        <v>122324.44</v>
      </c>
      <c r="G107" s="42">
        <f t="shared" si="8"/>
        <v>121569.04</v>
      </c>
      <c r="H107" s="38">
        <f t="shared" si="9"/>
        <v>-658.02382843526584</v>
      </c>
      <c r="I107" s="42">
        <f t="shared" si="5"/>
        <v>89427.807499999995</v>
      </c>
    </row>
    <row r="108" spans="1:9" x14ac:dyDescent="0.55000000000000004">
      <c r="A108" s="33">
        <f>'Historical backend'!G112</f>
        <v>45575</v>
      </c>
      <c r="B108" s="29">
        <f>'Historical backend'!H112</f>
        <v>260</v>
      </c>
      <c r="C108" s="29">
        <f>_xlfn.XLOOKUP(A108,'Historical backend'!B:B,'Historical backend'!C:C,_xlfn.XLOOKUP(A109,'Historical backend'!B:B,'Historical backend'!C:C))</f>
        <v>4742</v>
      </c>
      <c r="D108" s="29">
        <f>_xlfn.XLOOKUP(A108,'Historical backend'!L:L,'Historical backend'!M:M)</f>
        <v>24830</v>
      </c>
      <c r="E108" s="29">
        <f t="shared" si="6"/>
        <v>5002</v>
      </c>
      <c r="F108" s="42">
        <f t="shared" si="7"/>
        <v>124199.66</v>
      </c>
      <c r="G108" s="42">
        <f t="shared" si="8"/>
        <v>123454.76</v>
      </c>
      <c r="H108" s="38">
        <f t="shared" si="9"/>
        <v>-743.24446234393861</v>
      </c>
      <c r="I108" s="42">
        <f t="shared" si="5"/>
        <v>92922.964999999997</v>
      </c>
    </row>
    <row r="109" spans="1:9" x14ac:dyDescent="0.55000000000000004">
      <c r="A109" s="33">
        <f>'Historical backend'!G113</f>
        <v>45568</v>
      </c>
      <c r="B109" s="29">
        <f>'Historical backend'!H113</f>
        <v>250</v>
      </c>
      <c r="C109" s="29">
        <f>_xlfn.XLOOKUP(A109,'Historical backend'!B:B,'Historical backend'!C:C,_xlfn.XLOOKUP(A110,'Historical backend'!B:B,'Historical backend'!C:C))</f>
        <v>4720</v>
      </c>
      <c r="D109" s="29">
        <f>_xlfn.XLOOKUP(A109,'Historical backend'!L:L,'Historical backend'!M:M)</f>
        <v>24745</v>
      </c>
      <c r="E109" s="29">
        <f t="shared" si="6"/>
        <v>4970</v>
      </c>
      <c r="F109" s="42">
        <f t="shared" si="7"/>
        <v>122982.65</v>
      </c>
      <c r="G109" s="42">
        <f t="shared" si="8"/>
        <v>122240.3</v>
      </c>
      <c r="H109" s="38">
        <f t="shared" si="9"/>
        <v>-696.71852899575686</v>
      </c>
      <c r="I109" s="42">
        <f t="shared" si="5"/>
        <v>96445.84375</v>
      </c>
    </row>
    <row r="110" spans="1:9" x14ac:dyDescent="0.55000000000000004">
      <c r="A110" s="33">
        <f>'Historical backend'!G114</f>
        <v>45561</v>
      </c>
      <c r="B110" s="29">
        <f>'Historical backend'!H114</f>
        <v>250</v>
      </c>
      <c r="C110" s="29">
        <f>_xlfn.XLOOKUP(A110,'Historical backend'!B:B,'Historical backend'!C:C,_xlfn.XLOOKUP(A111,'Historical backend'!B:B,'Historical backend'!C:C))</f>
        <v>5242</v>
      </c>
      <c r="D110" s="29">
        <f>_xlfn.XLOOKUP(A110,'Historical backend'!L:L,'Historical backend'!M:M)</f>
        <v>24615</v>
      </c>
      <c r="E110" s="29">
        <f t="shared" si="6"/>
        <v>5492</v>
      </c>
      <c r="F110" s="42">
        <f t="shared" si="7"/>
        <v>135185.57999999999</v>
      </c>
      <c r="G110" s="42">
        <f t="shared" si="8"/>
        <v>134447.13</v>
      </c>
      <c r="H110" s="38">
        <f t="shared" si="9"/>
        <v>-1196.3083485679467</v>
      </c>
      <c r="I110" s="42">
        <f t="shared" si="5"/>
        <v>99772.051250000019</v>
      </c>
    </row>
    <row r="111" spans="1:9" x14ac:dyDescent="0.55000000000000004">
      <c r="A111" s="33">
        <f>'Historical backend'!G115</f>
        <v>45554</v>
      </c>
      <c r="B111" s="29">
        <f>'Historical backend'!H115</f>
        <v>300</v>
      </c>
      <c r="C111" s="29">
        <f>_xlfn.XLOOKUP(A111,'Historical backend'!B:B,'Historical backend'!C:C,_xlfn.XLOOKUP(A112,'Historical backend'!B:B,'Historical backend'!C:C))</f>
        <v>5248</v>
      </c>
      <c r="D111" s="29">
        <f>_xlfn.XLOOKUP(A111,'Historical backend'!L:L,'Historical backend'!M:M)</f>
        <v>24565</v>
      </c>
      <c r="E111" s="29">
        <f t="shared" si="6"/>
        <v>5548</v>
      </c>
      <c r="F111" s="42">
        <f t="shared" si="7"/>
        <v>136286.62</v>
      </c>
      <c r="G111" s="42">
        <f t="shared" si="8"/>
        <v>135549.67000000001</v>
      </c>
      <c r="H111" s="38">
        <f t="shared" si="9"/>
        <v>-1243.6258904946067</v>
      </c>
      <c r="I111" s="42">
        <f t="shared" si="5"/>
        <v>101108.83624999999</v>
      </c>
    </row>
    <row r="112" spans="1:9" x14ac:dyDescent="0.55000000000000004">
      <c r="A112" s="33">
        <f>'Historical backend'!G116</f>
        <v>45547</v>
      </c>
      <c r="B112" s="29">
        <f>'Historical backend'!H116</f>
        <v>550</v>
      </c>
      <c r="C112" s="29">
        <f>_xlfn.XLOOKUP(A112,'Historical backend'!B:B,'Historical backend'!C:C,_xlfn.XLOOKUP(A113,'Historical backend'!B:B,'Historical backend'!C:C))</f>
        <v>5077</v>
      </c>
      <c r="D112" s="29">
        <f>_xlfn.XLOOKUP(A112,'Historical backend'!L:L,'Historical backend'!M:M)</f>
        <v>24575</v>
      </c>
      <c r="E112" s="29">
        <f t="shared" si="6"/>
        <v>5627</v>
      </c>
      <c r="F112" s="42">
        <f t="shared" si="7"/>
        <v>138283.52499999999</v>
      </c>
      <c r="G112" s="42">
        <f t="shared" si="8"/>
        <v>137546.27499999999</v>
      </c>
      <c r="H112" s="38">
        <f t="shared" si="9"/>
        <v>-1324.3652085452693</v>
      </c>
      <c r="I112" s="42">
        <f t="shared" si="5"/>
        <v>100692.77875</v>
      </c>
    </row>
    <row r="113" spans="1:9" x14ac:dyDescent="0.55000000000000004">
      <c r="A113" s="33">
        <f>'Historical backend'!G117</f>
        <v>45540</v>
      </c>
      <c r="B113" s="29">
        <f>'Historical backend'!H117</f>
        <v>600</v>
      </c>
      <c r="C113" s="29">
        <f>_xlfn.XLOOKUP(A113,'Historical backend'!B:B,'Historical backend'!C:C,_xlfn.XLOOKUP(A114,'Historical backend'!B:B,'Historical backend'!C:C))</f>
        <v>4911</v>
      </c>
      <c r="D113" s="29">
        <f>_xlfn.XLOOKUP(A113,'Historical backend'!L:L,'Historical backend'!M:M)</f>
        <v>24730</v>
      </c>
      <c r="E113" s="29">
        <f t="shared" si="6"/>
        <v>5511</v>
      </c>
      <c r="F113" s="42">
        <f t="shared" si="7"/>
        <v>136287.03</v>
      </c>
      <c r="G113" s="42">
        <f t="shared" si="8"/>
        <v>135545.13</v>
      </c>
      <c r="H113" s="38">
        <f t="shared" si="9"/>
        <v>-1235.1447634452084</v>
      </c>
      <c r="I113" s="42">
        <f t="shared" si="5"/>
        <v>99322.110000000015</v>
      </c>
    </row>
    <row r="114" spans="1:9" x14ac:dyDescent="0.55000000000000004">
      <c r="A114" s="33">
        <f>'Historical backend'!G118</f>
        <v>45533</v>
      </c>
      <c r="B114" s="29">
        <f>'Historical backend'!H118</f>
        <v>750</v>
      </c>
      <c r="C114" s="29">
        <f>_xlfn.XLOOKUP(A114,'Historical backend'!B:B,'Historical backend'!C:C,_xlfn.XLOOKUP(A115,'Historical backend'!B:B,'Historical backend'!C:C))</f>
        <v>4901</v>
      </c>
      <c r="D114" s="29">
        <f>_xlfn.XLOOKUP(A114,'Historical backend'!L:L,'Historical backend'!M:M)</f>
        <v>24870</v>
      </c>
      <c r="E114" s="29">
        <f t="shared" si="6"/>
        <v>5651</v>
      </c>
      <c r="F114" s="42">
        <f t="shared" si="7"/>
        <v>140540.37</v>
      </c>
      <c r="G114" s="42">
        <f t="shared" si="8"/>
        <v>139794.26999999999</v>
      </c>
      <c r="H114" s="38">
        <f t="shared" si="9"/>
        <v>-1399.0458383594689</v>
      </c>
      <c r="I114" s="42">
        <f t="shared" si="5"/>
        <v>97313.29124999998</v>
      </c>
    </row>
    <row r="115" spans="1:9" x14ac:dyDescent="0.55000000000000004">
      <c r="A115" s="33">
        <f>'Historical backend'!G119</f>
        <v>45526</v>
      </c>
      <c r="B115" s="29">
        <f>'Historical backend'!H119</f>
        <v>820</v>
      </c>
      <c r="C115" s="29">
        <f>_xlfn.XLOOKUP(A115,'Historical backend'!B:B,'Historical backend'!C:C,_xlfn.XLOOKUP(A116,'Historical backend'!B:B,'Historical backend'!C:C))</f>
        <v>4574</v>
      </c>
      <c r="D115" s="29">
        <f>_xlfn.XLOOKUP(A115,'Historical backend'!L:L,'Historical backend'!M:M)</f>
        <v>24960</v>
      </c>
      <c r="E115" s="29">
        <f t="shared" si="6"/>
        <v>5394</v>
      </c>
      <c r="F115" s="42">
        <f t="shared" si="7"/>
        <v>134634.23999999999</v>
      </c>
      <c r="G115" s="42">
        <f t="shared" si="8"/>
        <v>133885.44</v>
      </c>
      <c r="H115" s="38">
        <f t="shared" si="9"/>
        <v>-1157.2692307692309</v>
      </c>
      <c r="I115" s="42">
        <f t="shared" si="5"/>
        <v>93272.010000000009</v>
      </c>
    </row>
    <row r="116" spans="1:9" x14ac:dyDescent="0.55000000000000004">
      <c r="A116" s="33">
        <f>'Historical backend'!G120</f>
        <v>45520</v>
      </c>
      <c r="B116" s="29">
        <f>'Historical backend'!H120</f>
        <v>850</v>
      </c>
      <c r="C116" s="29">
        <f>_xlfn.XLOOKUP(A116,'Historical backend'!B:B,'Historical backend'!C:C,_xlfn.XLOOKUP(A117,'Historical backend'!B:B,'Historical backend'!C:C))</f>
        <v>4452</v>
      </c>
      <c r="D116" s="29">
        <f>_xlfn.XLOOKUP(A116,'Historical backend'!L:L,'Historical backend'!M:M)</f>
        <v>25050</v>
      </c>
      <c r="E116" s="29">
        <f t="shared" si="6"/>
        <v>5302</v>
      </c>
      <c r="F116" s="42">
        <f t="shared" si="7"/>
        <v>132815.1</v>
      </c>
      <c r="G116" s="42">
        <f t="shared" si="8"/>
        <v>132063.6</v>
      </c>
      <c r="H116" s="38">
        <f t="shared" si="9"/>
        <v>-1080.3832335329344</v>
      </c>
      <c r="I116" s="42">
        <f t="shared" si="5"/>
        <v>92765.96875</v>
      </c>
    </row>
    <row r="117" spans="1:9" x14ac:dyDescent="0.55000000000000004">
      <c r="A117" s="33">
        <f>'Historical backend'!G121</f>
        <v>45512</v>
      </c>
      <c r="B117" s="29">
        <f>'Historical backend'!H121</f>
        <v>850</v>
      </c>
      <c r="C117" s="29">
        <f>_xlfn.XLOOKUP(A117,'Historical backend'!B:B,'Historical backend'!C:C,_xlfn.XLOOKUP(A118,'Historical backend'!B:B,'Historical backend'!C:C))</f>
        <v>4253</v>
      </c>
      <c r="D117" s="29">
        <f>_xlfn.XLOOKUP(A117,'Historical backend'!L:L,'Historical backend'!M:M)</f>
        <v>25135</v>
      </c>
      <c r="E117" s="29">
        <f t="shared" si="6"/>
        <v>5103</v>
      </c>
      <c r="F117" s="42">
        <f t="shared" si="7"/>
        <v>128263.905</v>
      </c>
      <c r="G117" s="42">
        <f t="shared" si="8"/>
        <v>127509.855</v>
      </c>
      <c r="H117" s="38">
        <f t="shared" si="9"/>
        <v>-895.55818579669767</v>
      </c>
      <c r="I117" s="42">
        <f t="shared" si="5"/>
        <v>93595.866250000006</v>
      </c>
    </row>
    <row r="118" spans="1:9" x14ac:dyDescent="0.55000000000000004">
      <c r="A118" s="33">
        <f>'Historical backend'!G122</f>
        <v>45505</v>
      </c>
      <c r="B118" s="29">
        <f>'Historical backend'!H122</f>
        <v>850</v>
      </c>
      <c r="C118" s="29">
        <f>_xlfn.XLOOKUP(A118,'Historical backend'!B:B,'Historical backend'!C:C,_xlfn.XLOOKUP(A119,'Historical backend'!B:B,'Historical backend'!C:C))</f>
        <v>4083</v>
      </c>
      <c r="D118" s="29">
        <f>_xlfn.XLOOKUP(A118,'Historical backend'!L:L,'Historical backend'!M:M)</f>
        <v>25215</v>
      </c>
      <c r="E118" s="29">
        <f t="shared" si="6"/>
        <v>4933</v>
      </c>
      <c r="F118" s="42">
        <f t="shared" si="7"/>
        <v>124385.595</v>
      </c>
      <c r="G118" s="42">
        <f t="shared" si="8"/>
        <v>123629.145</v>
      </c>
      <c r="H118" s="38">
        <f t="shared" si="9"/>
        <v>-738.81201665675212</v>
      </c>
      <c r="I118" s="42">
        <f t="shared" si="5"/>
        <v>95691.903749999998</v>
      </c>
    </row>
    <row r="119" spans="1:9" x14ac:dyDescent="0.55000000000000004">
      <c r="A119" s="33">
        <f>'Historical backend'!G123</f>
        <v>45498</v>
      </c>
      <c r="B119" s="29">
        <f>'Historical backend'!H123</f>
        <v>850</v>
      </c>
      <c r="C119" s="29">
        <f>_xlfn.XLOOKUP(A119,'Historical backend'!B:B,'Historical backend'!C:C,_xlfn.XLOOKUP(A120,'Historical backend'!B:B,'Historical backend'!C:C))</f>
        <v>4395</v>
      </c>
      <c r="D119" s="29">
        <f>_xlfn.XLOOKUP(A119,'Historical backend'!L:L,'Historical backend'!M:M)</f>
        <v>25285</v>
      </c>
      <c r="E119" s="29">
        <f t="shared" si="6"/>
        <v>5245</v>
      </c>
      <c r="F119" s="42">
        <f t="shared" si="7"/>
        <v>132619.82500000001</v>
      </c>
      <c r="G119" s="42">
        <f t="shared" si="8"/>
        <v>131861.27499999999</v>
      </c>
      <c r="H119" s="38">
        <f t="shared" si="9"/>
        <v>-1062.3403203480323</v>
      </c>
      <c r="I119" s="42">
        <f t="shared" si="5"/>
        <v>96011.767499999987</v>
      </c>
    </row>
    <row r="120" spans="1:9" x14ac:dyDescent="0.55000000000000004">
      <c r="A120" s="33">
        <f>'Historical backend'!G124</f>
        <v>45491</v>
      </c>
      <c r="B120" s="29">
        <f>'Historical backend'!H124</f>
        <v>900</v>
      </c>
      <c r="C120" s="29">
        <f>_xlfn.XLOOKUP(A120,'Historical backend'!B:B,'Historical backend'!C:C,_xlfn.XLOOKUP(A121,'Historical backend'!B:B,'Historical backend'!C:C))</f>
        <v>4479</v>
      </c>
      <c r="D120" s="29">
        <f>_xlfn.XLOOKUP(A120,'Historical backend'!L:L,'Historical backend'!M:M)</f>
        <v>25310</v>
      </c>
      <c r="E120" s="29">
        <f t="shared" si="6"/>
        <v>5379</v>
      </c>
      <c r="F120" s="42">
        <f t="shared" si="7"/>
        <v>136142.49</v>
      </c>
      <c r="G120" s="42">
        <f t="shared" si="8"/>
        <v>135383.19</v>
      </c>
      <c r="H120" s="38">
        <f t="shared" si="9"/>
        <v>-1200.4421177400238</v>
      </c>
      <c r="I120" s="42">
        <f t="shared" si="5"/>
        <v>94018.82</v>
      </c>
    </row>
    <row r="121" spans="1:9" x14ac:dyDescent="0.55000000000000004">
      <c r="A121" s="33">
        <f>'Historical backend'!G125</f>
        <v>45483</v>
      </c>
      <c r="B121" s="29">
        <f>'Historical backend'!H125</f>
        <v>900</v>
      </c>
      <c r="C121" s="29">
        <f>_xlfn.XLOOKUP(A121,'Historical backend'!B:B,'Historical backend'!C:C,_xlfn.XLOOKUP(A122,'Historical backend'!B:B,'Historical backend'!C:C))</f>
        <v>4477</v>
      </c>
      <c r="D121" s="29">
        <f>_xlfn.XLOOKUP(A121,'Historical backend'!L:L,'Historical backend'!M:M)</f>
        <v>25415</v>
      </c>
      <c r="E121" s="29">
        <f t="shared" si="6"/>
        <v>5377</v>
      </c>
      <c r="F121" s="42">
        <f t="shared" si="7"/>
        <v>136656.45499999999</v>
      </c>
      <c r="G121" s="42">
        <f t="shared" si="8"/>
        <v>135894.005</v>
      </c>
      <c r="H121" s="38">
        <f t="shared" si="9"/>
        <v>-1215.5815463309073</v>
      </c>
      <c r="I121" s="42">
        <f t="shared" si="5"/>
        <v>92278.197500000009</v>
      </c>
    </row>
    <row r="122" spans="1:9" x14ac:dyDescent="0.55000000000000004">
      <c r="A122" s="33">
        <f>'Historical backend'!G126</f>
        <v>45476</v>
      </c>
      <c r="B122" s="29">
        <f>'Historical backend'!H126</f>
        <v>880</v>
      </c>
      <c r="C122" s="29">
        <f>_xlfn.XLOOKUP(A122,'Historical backend'!B:B,'Historical backend'!C:C,_xlfn.XLOOKUP(A123,'Historical backend'!B:B,'Historical backend'!C:C))</f>
        <v>4058</v>
      </c>
      <c r="D122" s="29">
        <f>_xlfn.XLOOKUP(A122,'Historical backend'!L:L,'Historical backend'!M:M)</f>
        <v>25450</v>
      </c>
      <c r="E122" s="29">
        <f t="shared" si="6"/>
        <v>4938</v>
      </c>
      <c r="F122" s="42">
        <f t="shared" si="7"/>
        <v>125672.1</v>
      </c>
      <c r="G122" s="42">
        <f t="shared" si="8"/>
        <v>124908.6</v>
      </c>
      <c r="H122" s="38">
        <f t="shared" si="9"/>
        <v>-782.2632612966604</v>
      </c>
      <c r="I122" s="42">
        <f t="shared" si="5"/>
        <v>90181.110000000015</v>
      </c>
    </row>
    <row r="123" spans="1:9" x14ac:dyDescent="0.55000000000000004">
      <c r="A123" s="33">
        <f>'Historical backend'!G127</f>
        <v>45470</v>
      </c>
      <c r="B123" s="29">
        <f>'Historical backend'!H127</f>
        <v>850</v>
      </c>
      <c r="C123" s="29">
        <f>_xlfn.XLOOKUP(A123,'Historical backend'!B:B,'Historical backend'!C:C,_xlfn.XLOOKUP(A124,'Historical backend'!B:B,'Historical backend'!C:C))</f>
        <v>4047</v>
      </c>
      <c r="D123" s="29">
        <f>_xlfn.XLOOKUP(A123,'Historical backend'!L:L,'Historical backend'!M:M)</f>
        <v>25455</v>
      </c>
      <c r="E123" s="29">
        <f t="shared" si="6"/>
        <v>4897</v>
      </c>
      <c r="F123" s="42">
        <f t="shared" si="7"/>
        <v>124653.13499999999</v>
      </c>
      <c r="G123" s="42">
        <f t="shared" si="8"/>
        <v>123889.485</v>
      </c>
      <c r="H123" s="38">
        <f t="shared" si="9"/>
        <v>-742.0736593989393</v>
      </c>
      <c r="I123" s="42">
        <f t="shared" si="5"/>
        <v>92088.93</v>
      </c>
    </row>
    <row r="124" spans="1:9" x14ac:dyDescent="0.55000000000000004">
      <c r="A124" s="33">
        <f>'Historical backend'!G128</f>
        <v>45463</v>
      </c>
      <c r="B124" s="29">
        <f>'Historical backend'!H128</f>
        <v>900</v>
      </c>
      <c r="C124" s="29">
        <f>_xlfn.XLOOKUP(A124,'Historical backend'!B:B,'Historical backend'!C:C,_xlfn.XLOOKUP(A125,'Historical backend'!B:B,'Historical backend'!C:C))</f>
        <v>4176</v>
      </c>
      <c r="D124" s="29">
        <f>_xlfn.XLOOKUP(A124,'Historical backend'!L:L,'Historical backend'!M:M)</f>
        <v>25450</v>
      </c>
      <c r="E124" s="29">
        <f t="shared" si="6"/>
        <v>5076</v>
      </c>
      <c r="F124" s="42">
        <f t="shared" si="7"/>
        <v>129184.2</v>
      </c>
      <c r="G124" s="42">
        <f t="shared" si="8"/>
        <v>128420.7</v>
      </c>
      <c r="H124" s="38">
        <f t="shared" si="9"/>
        <v>-920.26326129666006</v>
      </c>
      <c r="I124" s="42">
        <f t="shared" si="5"/>
        <v>93253.546249999999</v>
      </c>
    </row>
    <row r="125" spans="1:9" x14ac:dyDescent="0.55000000000000004">
      <c r="A125" s="33">
        <f>'Historical backend'!G129</f>
        <v>45456</v>
      </c>
      <c r="B125" s="29">
        <f>'Historical backend'!H129</f>
        <v>950</v>
      </c>
      <c r="C125" s="29">
        <f>_xlfn.XLOOKUP(A125,'Historical backend'!B:B,'Historical backend'!C:C,_xlfn.XLOOKUP(A126,'Historical backend'!B:B,'Historical backend'!C:C))</f>
        <v>4093</v>
      </c>
      <c r="D125" s="29">
        <f>_xlfn.XLOOKUP(A125,'Historical backend'!L:L,'Historical backend'!M:M)</f>
        <v>25435</v>
      </c>
      <c r="E125" s="29">
        <f t="shared" si="6"/>
        <v>5043</v>
      </c>
      <c r="F125" s="42">
        <f t="shared" si="7"/>
        <v>128268.705</v>
      </c>
      <c r="G125" s="42">
        <f t="shared" si="8"/>
        <v>127505.655</v>
      </c>
      <c r="H125" s="38">
        <f t="shared" si="9"/>
        <v>-884.8301552978179</v>
      </c>
      <c r="I125" s="42">
        <f t="shared" si="5"/>
        <v>91641.131499999989</v>
      </c>
    </row>
    <row r="126" spans="1:9" x14ac:dyDescent="0.55000000000000004">
      <c r="A126" s="33">
        <f>'Historical backend'!G130</f>
        <v>45449</v>
      </c>
      <c r="B126" s="29">
        <f>'Historical backend'!H130</f>
        <v>950</v>
      </c>
      <c r="C126" s="29">
        <f>_xlfn.XLOOKUP(A126,'Historical backend'!B:B,'Historical backend'!C:C,_xlfn.XLOOKUP(A127,'Historical backend'!B:B,'Historical backend'!C:C))</f>
        <v>4294</v>
      </c>
      <c r="D126" s="29">
        <f>_xlfn.XLOOKUP(A126,'Historical backend'!L:L,'Historical backend'!M:M)</f>
        <v>25420</v>
      </c>
      <c r="E126" s="29">
        <f t="shared" si="6"/>
        <v>5244</v>
      </c>
      <c r="F126" s="42">
        <f t="shared" si="7"/>
        <v>133302.48000000001</v>
      </c>
      <c r="G126" s="42">
        <f t="shared" si="8"/>
        <v>132539.88</v>
      </c>
      <c r="H126" s="38">
        <f t="shared" si="9"/>
        <v>-1083.394177812746</v>
      </c>
      <c r="I126" s="42">
        <f t="shared" si="5"/>
        <v>87675.240250000003</v>
      </c>
    </row>
    <row r="127" spans="1:9" x14ac:dyDescent="0.55000000000000004">
      <c r="A127" s="33">
        <f>'Historical backend'!G131</f>
        <v>45442</v>
      </c>
      <c r="B127" s="29">
        <f>'Historical backend'!H131</f>
        <v>950</v>
      </c>
      <c r="C127" s="29">
        <f>_xlfn.XLOOKUP(A127,'Historical backend'!B:B,'Historical backend'!C:C,_xlfn.XLOOKUP(A128,'Historical backend'!B:B,'Historical backend'!C:C))</f>
        <v>4131</v>
      </c>
      <c r="D127" s="29">
        <f>_xlfn.XLOOKUP(A127,'Historical backend'!L:L,'Historical backend'!M:M)</f>
        <v>25450</v>
      </c>
      <c r="E127" s="29">
        <f t="shared" si="6"/>
        <v>5081</v>
      </c>
      <c r="F127" s="42">
        <f t="shared" si="7"/>
        <v>129311.45</v>
      </c>
      <c r="G127" s="42">
        <f t="shared" si="8"/>
        <v>128547.95</v>
      </c>
      <c r="H127" s="38">
        <f t="shared" si="9"/>
        <v>-925.26326129666006</v>
      </c>
      <c r="I127" s="42">
        <f t="shared" si="5"/>
        <v>82280.770250000001</v>
      </c>
    </row>
    <row r="128" spans="1:9" x14ac:dyDescent="0.55000000000000004">
      <c r="A128" s="33">
        <f>'Historical backend'!G132</f>
        <v>45435</v>
      </c>
      <c r="B128" s="29">
        <f>'Historical backend'!H132</f>
        <v>1000</v>
      </c>
      <c r="C128" s="29">
        <f>_xlfn.XLOOKUP(A128,'Historical backend'!B:B,'Historical backend'!C:C,_xlfn.XLOOKUP(A129,'Historical backend'!B:B,'Historical backend'!C:C))</f>
        <v>3819</v>
      </c>
      <c r="D128" s="29">
        <f>_xlfn.XLOOKUP(A128,'Historical backend'!L:L,'Historical backend'!M:M)</f>
        <v>25469</v>
      </c>
      <c r="E128" s="29">
        <f t="shared" si="6"/>
        <v>4819</v>
      </c>
      <c r="F128" s="42">
        <f t="shared" si="7"/>
        <v>122735.111</v>
      </c>
      <c r="G128" s="42">
        <f t="shared" si="8"/>
        <v>121971.041</v>
      </c>
      <c r="H128" s="38">
        <f t="shared" si="9"/>
        <v>-666.34108131453922</v>
      </c>
      <c r="I128" s="42">
        <f t="shared" si="5"/>
        <v>78897.957750000001</v>
      </c>
    </row>
    <row r="129" spans="1:9" x14ac:dyDescent="0.55000000000000004">
      <c r="A129" s="33">
        <f>'Historical backend'!G133</f>
        <v>45428</v>
      </c>
      <c r="B129" s="29">
        <f>'Historical backend'!H133</f>
        <v>1000</v>
      </c>
      <c r="C129" s="29">
        <f>_xlfn.XLOOKUP(A129,'Historical backend'!B:B,'Historical backend'!C:C,_xlfn.XLOOKUP(A130,'Historical backend'!B:B,'Historical backend'!C:C))</f>
        <v>3420</v>
      </c>
      <c r="D129" s="29">
        <f>_xlfn.XLOOKUP(A129,'Historical backend'!L:L,'Historical backend'!M:M)</f>
        <v>25431</v>
      </c>
      <c r="E129" s="29">
        <f t="shared" si="6"/>
        <v>4420</v>
      </c>
      <c r="F129" s="42">
        <f t="shared" si="7"/>
        <v>112405.02</v>
      </c>
      <c r="G129" s="42">
        <f t="shared" si="8"/>
        <v>111642.09</v>
      </c>
      <c r="H129" s="38">
        <f t="shared" si="9"/>
        <v>-261.18084227910805</v>
      </c>
      <c r="I129" s="42">
        <f t="shared" si="5"/>
        <v>80751.797499999986</v>
      </c>
    </row>
    <row r="130" spans="1:9" x14ac:dyDescent="0.55000000000000004">
      <c r="A130" s="33">
        <f>'Historical backend'!G134</f>
        <v>45422</v>
      </c>
      <c r="B130" s="29">
        <f>'Historical backend'!H134</f>
        <v>950</v>
      </c>
      <c r="C130" s="29">
        <f>_xlfn.XLOOKUP(A130,'Historical backend'!B:B,'Historical backend'!C:C,_xlfn.XLOOKUP(A131,'Historical backend'!B:B,'Historical backend'!C:C))</f>
        <v>3440</v>
      </c>
      <c r="D130" s="29">
        <f>_xlfn.XLOOKUP(A130,'Historical backend'!L:L,'Historical backend'!M:M)</f>
        <v>25450</v>
      </c>
      <c r="E130" s="29">
        <f t="shared" si="6"/>
        <v>4390</v>
      </c>
      <c r="F130" s="42">
        <f t="shared" si="7"/>
        <v>111725.5</v>
      </c>
      <c r="G130" s="42">
        <f t="shared" si="8"/>
        <v>110962</v>
      </c>
      <c r="H130" s="38">
        <f t="shared" si="9"/>
        <v>-234.26326129666012</v>
      </c>
      <c r="I130" s="42">
        <f t="shared" ref="I130:I193" si="10">AVERAGE(G130:G133)-$R$6</f>
        <v>83714.974999999991</v>
      </c>
    </row>
    <row r="131" spans="1:9" x14ac:dyDescent="0.55000000000000004">
      <c r="A131" s="33">
        <f>'Historical backend'!G135</f>
        <v>45414</v>
      </c>
      <c r="B131" s="29">
        <f>'Historical backend'!H135</f>
        <v>880</v>
      </c>
      <c r="C131" s="29">
        <f>_xlfn.XLOOKUP(A131,'Historical backend'!B:B,'Historical backend'!C:C,_xlfn.XLOOKUP(A132,'Historical backend'!B:B,'Historical backend'!C:C))</f>
        <v>3680</v>
      </c>
      <c r="D131" s="29">
        <f>_xlfn.XLOOKUP(A131,'Historical backend'!L:L,'Historical backend'!M:M)</f>
        <v>25390</v>
      </c>
      <c r="E131" s="29">
        <f t="shared" ref="E131:E194" si="11">C131+B131</f>
        <v>4560</v>
      </c>
      <c r="F131" s="42">
        <f t="shared" ref="F131:F194" si="12">E131*D131/1000</f>
        <v>115778.4</v>
      </c>
      <c r="G131" s="42">
        <f t="shared" ref="G131:G194" si="13">(E131-$R$2)*D131/1000</f>
        <v>115016.7</v>
      </c>
      <c r="H131" s="38">
        <f t="shared" ref="H131:H194" si="14">($R$4-G131)/D131*1000</f>
        <v>-394.51358802678209</v>
      </c>
      <c r="I131" s="42">
        <f t="shared" si="10"/>
        <v>84451.674999999988</v>
      </c>
    </row>
    <row r="132" spans="1:9" x14ac:dyDescent="0.55000000000000004">
      <c r="A132" s="33">
        <f>'Historical backend'!G136</f>
        <v>45407</v>
      </c>
      <c r="B132" s="29">
        <f>'Historical backend'!H136</f>
        <v>830</v>
      </c>
      <c r="C132" s="29">
        <f>_xlfn.XLOOKUP(A132,'Historical backend'!B:B,'Historical backend'!C:C,_xlfn.XLOOKUP(A133,'Historical backend'!B:B,'Historical backend'!C:C))</f>
        <v>4304</v>
      </c>
      <c r="D132" s="29">
        <f>_xlfn.XLOOKUP(A132,'Historical backend'!L:L,'Historical backend'!M:M)</f>
        <v>25350</v>
      </c>
      <c r="E132" s="29">
        <f t="shared" si="11"/>
        <v>5134</v>
      </c>
      <c r="F132" s="42">
        <f t="shared" si="12"/>
        <v>130146.9</v>
      </c>
      <c r="G132" s="42">
        <f t="shared" si="13"/>
        <v>129386.4</v>
      </c>
      <c r="H132" s="38">
        <f t="shared" si="14"/>
        <v>-961.98816568047323</v>
      </c>
      <c r="I132" s="42">
        <f t="shared" si="10"/>
        <v>83549.895000000004</v>
      </c>
    </row>
    <row r="133" spans="1:9" x14ac:dyDescent="0.55000000000000004">
      <c r="A133" s="33">
        <f>'Historical backend'!G137</f>
        <v>45400</v>
      </c>
      <c r="B133" s="29">
        <f>'Historical backend'!H137</f>
        <v>830</v>
      </c>
      <c r="C133" s="29">
        <f>_xlfn.XLOOKUP(A133,'Historical backend'!B:B,'Historical backend'!C:C,_xlfn.XLOOKUP(A134,'Historical backend'!B:B,'Historical backend'!C:C))</f>
        <v>4062</v>
      </c>
      <c r="D133" s="29">
        <f>_xlfn.XLOOKUP(A133,'Historical backend'!L:L,'Historical backend'!M:M)</f>
        <v>25400</v>
      </c>
      <c r="E133" s="29">
        <f t="shared" si="11"/>
        <v>4892</v>
      </c>
      <c r="F133" s="42">
        <f t="shared" si="12"/>
        <v>124256.8</v>
      </c>
      <c r="G133" s="42">
        <f t="shared" si="13"/>
        <v>123494.8</v>
      </c>
      <c r="H133" s="38">
        <f t="shared" si="14"/>
        <v>-728.14173228346465</v>
      </c>
      <c r="I133" s="42">
        <f t="shared" si="10"/>
        <v>76898.13</v>
      </c>
    </row>
    <row r="134" spans="1:9" x14ac:dyDescent="0.55000000000000004">
      <c r="A134" s="33">
        <f>'Historical backend'!G138</f>
        <v>45393</v>
      </c>
      <c r="B134" s="29">
        <f>'Historical backend'!H138</f>
        <v>800</v>
      </c>
      <c r="C134" s="29">
        <f>_xlfn.XLOOKUP(A134,'Historical backend'!B:B,'Historical backend'!C:C,_xlfn.XLOOKUP(A135,'Historical backend'!B:B,'Historical backend'!C:C))</f>
        <v>3790</v>
      </c>
      <c r="D134" s="29">
        <f>_xlfn.XLOOKUP(A134,'Historical backend'!L:L,'Historical backend'!M:M)</f>
        <v>24980</v>
      </c>
      <c r="E134" s="29">
        <f t="shared" si="11"/>
        <v>4590</v>
      </c>
      <c r="F134" s="42">
        <f t="shared" si="12"/>
        <v>114658.2</v>
      </c>
      <c r="G134" s="42">
        <f t="shared" si="13"/>
        <v>113908.8</v>
      </c>
      <c r="H134" s="38">
        <f t="shared" si="14"/>
        <v>-356.63730984787838</v>
      </c>
      <c r="I134" s="42">
        <f t="shared" si="10"/>
        <v>71460.03624999999</v>
      </c>
    </row>
    <row r="135" spans="1:9" x14ac:dyDescent="0.55000000000000004">
      <c r="A135" s="33">
        <f>'Historical backend'!G139</f>
        <v>45386</v>
      </c>
      <c r="B135" s="29">
        <f>'Historical backend'!H139</f>
        <v>800</v>
      </c>
      <c r="C135" s="29">
        <f>_xlfn.XLOOKUP(A135,'Historical backend'!B:B,'Historical backend'!C:C,_xlfn.XLOOKUP(A136,'Historical backend'!B:B,'Historical backend'!C:C))</f>
        <v>3698</v>
      </c>
      <c r="D135" s="29">
        <f>_xlfn.XLOOKUP(A135,'Historical backend'!L:L,'Historical backend'!M:M)</f>
        <v>24935</v>
      </c>
      <c r="E135" s="29">
        <f t="shared" si="11"/>
        <v>4498</v>
      </c>
      <c r="F135" s="42">
        <f t="shared" si="12"/>
        <v>112157.63</v>
      </c>
      <c r="G135" s="42">
        <f t="shared" si="13"/>
        <v>111409.58</v>
      </c>
      <c r="H135" s="38">
        <f t="shared" si="14"/>
        <v>-257.05153398836984</v>
      </c>
      <c r="I135" s="42">
        <f t="shared" si="10"/>
        <v>67222.243749999994</v>
      </c>
    </row>
    <row r="136" spans="1:9" x14ac:dyDescent="0.55000000000000004">
      <c r="A136" s="33">
        <f>'Historical backend'!G140</f>
        <v>45379</v>
      </c>
      <c r="B136" s="29">
        <f>'Historical backend'!H140</f>
        <v>780</v>
      </c>
      <c r="C136" s="29">
        <f>_xlfn.XLOOKUP(A136,'Historical backend'!B:B,'Historical backend'!C:C,_xlfn.XLOOKUP(A137,'Historical backend'!B:B,'Historical backend'!C:C))</f>
        <v>3396</v>
      </c>
      <c r="D136" s="29">
        <f>_xlfn.XLOOKUP(A136,'Historical backend'!L:L,'Historical backend'!M:M)</f>
        <v>24790</v>
      </c>
      <c r="E136" s="29">
        <f t="shared" si="11"/>
        <v>4176</v>
      </c>
      <c r="F136" s="42">
        <f t="shared" si="12"/>
        <v>103523.04</v>
      </c>
      <c r="G136" s="42">
        <f t="shared" si="13"/>
        <v>102779.34</v>
      </c>
      <c r="H136" s="38">
        <f t="shared" si="14"/>
        <v>89.578862444534224</v>
      </c>
      <c r="I136" s="42">
        <f t="shared" si="10"/>
        <v>64056.018750000003</v>
      </c>
    </row>
    <row r="137" spans="1:9" x14ac:dyDescent="0.55000000000000004">
      <c r="A137" s="33">
        <f>'Historical backend'!G141</f>
        <v>45372</v>
      </c>
      <c r="B137" s="29">
        <f>'Historical backend'!H141</f>
        <v>750</v>
      </c>
      <c r="C137" s="29">
        <f>_xlfn.XLOOKUP(A137,'Historical backend'!B:B,'Historical backend'!C:C,_xlfn.XLOOKUP(A138,'Historical backend'!B:B,'Historical backend'!C:C))</f>
        <v>3385</v>
      </c>
      <c r="D137" s="29">
        <f>_xlfn.XLOOKUP(A137,'Historical backend'!L:L,'Historical backend'!M:M)</f>
        <v>24785</v>
      </c>
      <c r="E137" s="29">
        <f t="shared" si="11"/>
        <v>4135</v>
      </c>
      <c r="F137" s="42">
        <f t="shared" si="12"/>
        <v>102485.97500000001</v>
      </c>
      <c r="G137" s="42">
        <f t="shared" si="13"/>
        <v>101742.425</v>
      </c>
      <c r="H137" s="38">
        <f t="shared" si="14"/>
        <v>131.43332660883587</v>
      </c>
      <c r="I137" s="42">
        <f t="shared" si="10"/>
        <v>60937.583749999991</v>
      </c>
    </row>
    <row r="138" spans="1:9" x14ac:dyDescent="0.55000000000000004">
      <c r="A138" s="33">
        <f>'Historical backend'!G142</f>
        <v>45365</v>
      </c>
      <c r="B138" s="29">
        <f>'Historical backend'!H142</f>
        <v>680</v>
      </c>
      <c r="C138" s="29">
        <f>_xlfn.XLOOKUP(A138,'Historical backend'!B:B,'Historical backend'!C:C,_xlfn.XLOOKUP(A139,'Historical backend'!B:B,'Historical backend'!C:C))</f>
        <v>3277</v>
      </c>
      <c r="D138" s="29">
        <f>_xlfn.XLOOKUP(A138,'Historical backend'!L:L,'Historical backend'!M:M)</f>
        <v>24690</v>
      </c>
      <c r="E138" s="29">
        <f t="shared" si="11"/>
        <v>3957</v>
      </c>
      <c r="F138" s="42">
        <f t="shared" si="12"/>
        <v>97698.33</v>
      </c>
      <c r="G138" s="42">
        <f t="shared" si="13"/>
        <v>96957.63</v>
      </c>
      <c r="H138" s="38">
        <f t="shared" si="14"/>
        <v>325.73390036451985</v>
      </c>
      <c r="I138" s="42">
        <f t="shared" si="10"/>
        <v>57036.670000000013</v>
      </c>
    </row>
    <row r="139" spans="1:9" x14ac:dyDescent="0.55000000000000004">
      <c r="A139" s="33">
        <f>'Historical backend'!G143</f>
        <v>45358</v>
      </c>
      <c r="B139" s="29">
        <f>'Historical backend'!H143</f>
        <v>650</v>
      </c>
      <c r="C139" s="29">
        <f>_xlfn.XLOOKUP(A139,'Historical backend'!B:B,'Historical backend'!C:C,_xlfn.XLOOKUP(A140,'Historical backend'!B:B,'Historical backend'!C:C))</f>
        <v>3381</v>
      </c>
      <c r="D139" s="29">
        <f>_xlfn.XLOOKUP(A139,'Historical backend'!L:L,'Historical backend'!M:M)</f>
        <v>24680</v>
      </c>
      <c r="E139" s="29">
        <f t="shared" si="11"/>
        <v>4031</v>
      </c>
      <c r="F139" s="42">
        <f t="shared" si="12"/>
        <v>99485.08</v>
      </c>
      <c r="G139" s="42">
        <f t="shared" si="13"/>
        <v>98744.68</v>
      </c>
      <c r="H139" s="38">
        <f t="shared" si="14"/>
        <v>253.45705024311209</v>
      </c>
      <c r="I139" s="42">
        <f t="shared" si="10"/>
        <v>54056.537500000006</v>
      </c>
    </row>
    <row r="140" spans="1:9" x14ac:dyDescent="0.55000000000000004">
      <c r="A140" s="33">
        <f>'Historical backend'!G144</f>
        <v>45351</v>
      </c>
      <c r="B140" s="29">
        <f>'Historical backend'!H144</f>
        <v>600</v>
      </c>
      <c r="C140" s="29">
        <f>_xlfn.XLOOKUP(A140,'Historical backend'!B:B,'Historical backend'!C:C,_xlfn.XLOOKUP(A141,'Historical backend'!B:B,'Historical backend'!C:C))</f>
        <v>3095</v>
      </c>
      <c r="D140" s="29">
        <f>_xlfn.XLOOKUP(A140,'Historical backend'!L:L,'Historical backend'!M:M)</f>
        <v>24640</v>
      </c>
      <c r="E140" s="29">
        <f t="shared" si="11"/>
        <v>3695</v>
      </c>
      <c r="F140" s="42">
        <f t="shared" si="12"/>
        <v>91044.800000000003</v>
      </c>
      <c r="G140" s="42">
        <f t="shared" si="13"/>
        <v>90305.600000000006</v>
      </c>
      <c r="H140" s="38">
        <f t="shared" si="14"/>
        <v>596.36363636363615</v>
      </c>
      <c r="I140" s="42">
        <f t="shared" si="10"/>
        <v>50104.267500000002</v>
      </c>
    </row>
    <row r="141" spans="1:9" x14ac:dyDescent="0.55000000000000004">
      <c r="A141" s="33">
        <f>'Historical backend'!G145</f>
        <v>45344</v>
      </c>
      <c r="B141" s="29">
        <f>'Historical backend'!H145</f>
        <v>420</v>
      </c>
      <c r="C141" s="29">
        <f>_xlfn.XLOOKUP(A141,'Historical backend'!B:B,'Historical backend'!C:C,_xlfn.XLOOKUP(A142,'Historical backend'!B:B,'Historical backend'!C:C))</f>
        <v>3113</v>
      </c>
      <c r="D141" s="29">
        <f>_xlfn.XLOOKUP(A141,'Historical backend'!L:L,'Historical backend'!M:M)</f>
        <v>24590</v>
      </c>
      <c r="E141" s="29">
        <f t="shared" si="11"/>
        <v>3533</v>
      </c>
      <c r="F141" s="42">
        <f t="shared" si="12"/>
        <v>86876.47</v>
      </c>
      <c r="G141" s="42">
        <f t="shared" si="13"/>
        <v>86138.77</v>
      </c>
      <c r="H141" s="38">
        <f t="shared" si="14"/>
        <v>767.02846685644556</v>
      </c>
      <c r="I141" s="42">
        <f t="shared" si="10"/>
        <v>48273.967499999999</v>
      </c>
    </row>
    <row r="142" spans="1:9" x14ac:dyDescent="0.55000000000000004">
      <c r="A142" s="33">
        <f>'Historical backend'!G146</f>
        <v>45337</v>
      </c>
      <c r="B142" s="29">
        <f>'Historical backend'!H146</f>
        <v>400</v>
      </c>
      <c r="C142" s="29">
        <f>_xlfn.XLOOKUP(A142,'Historical backend'!B:B,'Historical backend'!C:C,_xlfn.XLOOKUP(A143,'Historical backend'!B:B,'Historical backend'!C:C))</f>
        <v>3108</v>
      </c>
      <c r="D142" s="29">
        <f>_xlfn.XLOOKUP(A142,'Historical backend'!L:L,'Historical backend'!M:M)</f>
        <v>24450</v>
      </c>
      <c r="E142" s="29">
        <f t="shared" si="11"/>
        <v>3508</v>
      </c>
      <c r="F142" s="42">
        <f t="shared" si="12"/>
        <v>85770.6</v>
      </c>
      <c r="G142" s="42">
        <f t="shared" si="13"/>
        <v>85037.1</v>
      </c>
      <c r="H142" s="38">
        <f t="shared" si="14"/>
        <v>816.47852760736168</v>
      </c>
      <c r="I142" s="42">
        <f t="shared" si="10"/>
        <v>48090.263749999998</v>
      </c>
    </row>
    <row r="143" spans="1:9" x14ac:dyDescent="0.55000000000000004">
      <c r="A143" s="33">
        <f>'Historical backend'!G147</f>
        <v>45330</v>
      </c>
      <c r="B143" s="29">
        <f>'Historical backend'!H147</f>
        <v>320</v>
      </c>
      <c r="C143" s="29">
        <f>_xlfn.XLOOKUP(A143,'Historical backend'!B:B,'Historical backend'!C:C,_xlfn.XLOOKUP(A144,'Historical backend'!B:B,'Historical backend'!C:C))</f>
        <v>3109</v>
      </c>
      <c r="D143" s="29">
        <f>_xlfn.XLOOKUP(A143,'Historical backend'!L:L,'Historical backend'!M:M)</f>
        <v>24400</v>
      </c>
      <c r="E143" s="29">
        <f t="shared" si="11"/>
        <v>3429</v>
      </c>
      <c r="F143" s="42">
        <f t="shared" si="12"/>
        <v>83667.600000000006</v>
      </c>
      <c r="G143" s="42">
        <f t="shared" si="13"/>
        <v>82935.600000000006</v>
      </c>
      <c r="H143" s="38">
        <f t="shared" si="14"/>
        <v>904.27868852458994</v>
      </c>
      <c r="I143" s="42">
        <f t="shared" si="10"/>
        <v>46976.297500000001</v>
      </c>
    </row>
    <row r="144" spans="1:9" x14ac:dyDescent="0.55000000000000004">
      <c r="A144" s="33">
        <f>'Historical backend'!G148</f>
        <v>45323</v>
      </c>
      <c r="B144" s="29">
        <f>'Historical backend'!H148</f>
        <v>280</v>
      </c>
      <c r="C144" s="29">
        <f>_xlfn.XLOOKUP(A144,'Historical backend'!B:B,'Historical backend'!C:C,_xlfn.XLOOKUP(A145,'Historical backend'!B:B,'Historical backend'!C:C))</f>
        <v>3151</v>
      </c>
      <c r="D144" s="29">
        <f>_xlfn.XLOOKUP(A144,'Historical backend'!L:L,'Historical backend'!M:M)</f>
        <v>24400</v>
      </c>
      <c r="E144" s="29">
        <f t="shared" si="11"/>
        <v>3431</v>
      </c>
      <c r="F144" s="42">
        <f t="shared" si="12"/>
        <v>83716.399999999994</v>
      </c>
      <c r="G144" s="42">
        <f t="shared" si="13"/>
        <v>82984.399999999994</v>
      </c>
      <c r="H144" s="38">
        <f t="shared" si="14"/>
        <v>902.27868852459039</v>
      </c>
      <c r="I144" s="42">
        <f t="shared" si="10"/>
        <v>45748.972499999989</v>
      </c>
    </row>
    <row r="145" spans="1:9" x14ac:dyDescent="0.55000000000000004">
      <c r="A145" s="33">
        <f>'Historical backend'!G149</f>
        <v>45316</v>
      </c>
      <c r="B145" s="29">
        <f>'Historical backend'!H149</f>
        <v>250</v>
      </c>
      <c r="C145" s="29">
        <f>_xlfn.XLOOKUP(A145,'Historical backend'!B:B,'Historical backend'!C:C,_xlfn.XLOOKUP(A146,'Historical backend'!B:B,'Historical backend'!C:C))</f>
        <v>3251</v>
      </c>
      <c r="D145" s="29">
        <f>_xlfn.XLOOKUP(A145,'Historical backend'!L:L,'Historical backend'!M:M)</f>
        <v>24605</v>
      </c>
      <c r="E145" s="29">
        <f t="shared" si="11"/>
        <v>3501</v>
      </c>
      <c r="F145" s="42">
        <f t="shared" si="12"/>
        <v>86142.104999999996</v>
      </c>
      <c r="G145" s="42">
        <f t="shared" si="13"/>
        <v>85403.955000000002</v>
      </c>
      <c r="H145" s="38">
        <f t="shared" si="14"/>
        <v>796.42532005689895</v>
      </c>
      <c r="I145" s="42">
        <f t="shared" si="10"/>
        <v>43187.612500000003</v>
      </c>
    </row>
    <row r="146" spans="1:9" x14ac:dyDescent="0.55000000000000004">
      <c r="A146" s="33">
        <f>'Historical backend'!G150</f>
        <v>45309</v>
      </c>
      <c r="B146" s="29">
        <f>'Historical backend'!H150</f>
        <v>250</v>
      </c>
      <c r="C146" s="29">
        <f>_xlfn.XLOOKUP(A146,'Historical backend'!B:B,'Historical backend'!C:C,_xlfn.XLOOKUP(A147,'Historical backend'!B:B,'Historical backend'!C:C))</f>
        <v>3063</v>
      </c>
      <c r="D146" s="29">
        <f>_xlfn.XLOOKUP(A146,'Historical backend'!L:L,'Historical backend'!M:M)</f>
        <v>24545</v>
      </c>
      <c r="E146" s="29">
        <f t="shared" si="11"/>
        <v>3313</v>
      </c>
      <c r="F146" s="42">
        <f t="shared" si="12"/>
        <v>81317.585000000006</v>
      </c>
      <c r="G146" s="42">
        <f t="shared" si="13"/>
        <v>80581.235000000001</v>
      </c>
      <c r="H146" s="38">
        <f t="shared" si="14"/>
        <v>994.85699735180276</v>
      </c>
      <c r="I146" s="42">
        <f t="shared" si="10"/>
        <v>41018.626250000001</v>
      </c>
    </row>
    <row r="147" spans="1:9" x14ac:dyDescent="0.55000000000000004">
      <c r="A147" s="33">
        <f>'Historical backend'!G151</f>
        <v>45302</v>
      </c>
      <c r="B147" s="29">
        <f>'Historical backend'!H151</f>
        <v>280</v>
      </c>
      <c r="C147" s="29">
        <f>_xlfn.XLOOKUP(A147,'Historical backend'!B:B,'Historical backend'!C:C,_xlfn.XLOOKUP(A148,'Historical backend'!B:B,'Historical backend'!C:C))</f>
        <v>2938</v>
      </c>
      <c r="D147" s="29">
        <f>_xlfn.XLOOKUP(A147,'Historical backend'!L:L,'Historical backend'!M:M)</f>
        <v>24475</v>
      </c>
      <c r="E147" s="29">
        <f t="shared" si="11"/>
        <v>3218</v>
      </c>
      <c r="F147" s="42">
        <f t="shared" si="12"/>
        <v>78760.55</v>
      </c>
      <c r="G147" s="42">
        <f t="shared" si="13"/>
        <v>78026.3</v>
      </c>
      <c r="H147" s="38">
        <f t="shared" si="14"/>
        <v>1102.0919305413686</v>
      </c>
      <c r="I147" s="42">
        <f t="shared" si="10"/>
        <v>40292.837500000009</v>
      </c>
    </row>
    <row r="148" spans="1:9" x14ac:dyDescent="0.55000000000000004">
      <c r="A148" s="33">
        <f>'Historical backend'!G152</f>
        <v>45295</v>
      </c>
      <c r="B148" s="29">
        <f>'Historical backend'!H152</f>
        <v>230</v>
      </c>
      <c r="C148" s="29">
        <f>_xlfn.XLOOKUP(A148,'Historical backend'!B:B,'Historical backend'!C:C,_xlfn.XLOOKUP(A149,'Historical backend'!B:B,'Historical backend'!C:C))</f>
        <v>2786</v>
      </c>
      <c r="D148" s="29">
        <f>_xlfn.XLOOKUP(A148,'Historical backend'!L:L,'Historical backend'!M:M)</f>
        <v>24360</v>
      </c>
      <c r="E148" s="29">
        <f t="shared" si="11"/>
        <v>3016</v>
      </c>
      <c r="F148" s="42">
        <f t="shared" si="12"/>
        <v>73469.759999999995</v>
      </c>
      <c r="G148" s="42">
        <f t="shared" si="13"/>
        <v>72738.960000000006</v>
      </c>
      <c r="H148" s="38">
        <f t="shared" si="14"/>
        <v>1324.3448275862067</v>
      </c>
      <c r="I148" s="42">
        <f t="shared" si="10"/>
        <v>38951.828750000001</v>
      </c>
    </row>
    <row r="149" spans="1:9" x14ac:dyDescent="0.55000000000000004">
      <c r="A149" s="33">
        <f>'Historical backend'!G153</f>
        <v>45288</v>
      </c>
      <c r="B149" s="29">
        <f>'Historical backend'!H153</f>
        <v>260</v>
      </c>
      <c r="C149" s="29">
        <f>_xlfn.XLOOKUP(A149,'Historical backend'!B:B,'Historical backend'!C:C,_xlfn.XLOOKUP(A150,'Historical backend'!B:B,'Historical backend'!C:C))</f>
        <v>2936</v>
      </c>
      <c r="D149" s="29">
        <f>_xlfn.XLOOKUP(A149,'Historical backend'!L:L,'Historical backend'!M:M)</f>
        <v>24235</v>
      </c>
      <c r="E149" s="29">
        <f t="shared" si="11"/>
        <v>3196</v>
      </c>
      <c r="F149" s="42">
        <f t="shared" si="12"/>
        <v>77455.06</v>
      </c>
      <c r="G149" s="42">
        <f t="shared" si="13"/>
        <v>76728.009999999995</v>
      </c>
      <c r="H149" s="38">
        <f t="shared" si="14"/>
        <v>1166.5768516608211</v>
      </c>
      <c r="I149" s="42">
        <f t="shared" si="10"/>
        <v>37219.47</v>
      </c>
    </row>
    <row r="150" spans="1:9" x14ac:dyDescent="0.55000000000000004">
      <c r="A150" s="33">
        <f>'Historical backend'!G154</f>
        <v>45281</v>
      </c>
      <c r="B150" s="29">
        <f>'Historical backend'!H154</f>
        <v>260</v>
      </c>
      <c r="C150" s="29">
        <f>_xlfn.XLOOKUP(A150,'Historical backend'!B:B,'Historical backend'!C:C,_xlfn.XLOOKUP(A151,'Historical backend'!B:B,'Historical backend'!C:C))</f>
        <v>2964</v>
      </c>
      <c r="D150" s="29">
        <f>_xlfn.XLOOKUP(A150,'Historical backend'!L:L,'Historical backend'!M:M)</f>
        <v>24320</v>
      </c>
      <c r="E150" s="29">
        <f t="shared" si="11"/>
        <v>3224</v>
      </c>
      <c r="F150" s="42">
        <f t="shared" si="12"/>
        <v>78407.679999999993</v>
      </c>
      <c r="G150" s="42">
        <f t="shared" si="13"/>
        <v>77678.080000000002</v>
      </c>
      <c r="H150" s="38">
        <f t="shared" si="14"/>
        <v>1123.4342105263158</v>
      </c>
      <c r="I150" s="42">
        <f t="shared" si="10"/>
        <v>34503.217499999999</v>
      </c>
    </row>
    <row r="151" spans="1:9" x14ac:dyDescent="0.55000000000000004">
      <c r="A151" s="33">
        <f>'Historical backend'!G155</f>
        <v>45274</v>
      </c>
      <c r="B151" s="29">
        <f>'Historical backend'!H155</f>
        <v>230</v>
      </c>
      <c r="C151" s="29">
        <f>_xlfn.XLOOKUP(A151,'Historical backend'!B:B,'Historical backend'!C:C,_xlfn.XLOOKUP(A152,'Historical backend'!B:B,'Historical backend'!C:C))</f>
        <v>2797</v>
      </c>
      <c r="D151" s="29">
        <f>_xlfn.XLOOKUP(A151,'Historical backend'!L:L,'Historical backend'!M:M)</f>
        <v>24245</v>
      </c>
      <c r="E151" s="29">
        <f t="shared" si="11"/>
        <v>3027</v>
      </c>
      <c r="F151" s="42">
        <f t="shared" si="12"/>
        <v>73389.615000000005</v>
      </c>
      <c r="G151" s="42">
        <f t="shared" si="13"/>
        <v>72662.264999999999</v>
      </c>
      <c r="H151" s="38">
        <f t="shared" si="14"/>
        <v>1333.7898535780575</v>
      </c>
      <c r="I151" s="42">
        <f t="shared" si="10"/>
        <v>31391.157500000001</v>
      </c>
    </row>
    <row r="152" spans="1:9" x14ac:dyDescent="0.55000000000000004">
      <c r="A152" s="33">
        <f>'Historical backend'!G156</f>
        <v>45267</v>
      </c>
      <c r="B152" s="29">
        <f>'Historical backend'!H156</f>
        <v>200</v>
      </c>
      <c r="C152" s="29">
        <f>_xlfn.XLOOKUP(A152,'Historical backend'!B:B,'Historical backend'!C:C,_xlfn.XLOOKUP(A153,'Historical backend'!B:B,'Historical backend'!C:C))</f>
        <v>2541</v>
      </c>
      <c r="D152" s="29">
        <f>_xlfn.XLOOKUP(A152,'Historical backend'!L:L,'Historical backend'!M:M)</f>
        <v>24275</v>
      </c>
      <c r="E152" s="29">
        <f t="shared" si="11"/>
        <v>2741</v>
      </c>
      <c r="F152" s="42">
        <f t="shared" si="12"/>
        <v>66537.774999999994</v>
      </c>
      <c r="G152" s="42">
        <f t="shared" si="13"/>
        <v>65809.524999999994</v>
      </c>
      <c r="H152" s="38">
        <f t="shared" si="14"/>
        <v>1614.4376930998972</v>
      </c>
      <c r="I152" s="42">
        <f t="shared" si="10"/>
        <v>30142.183250000002</v>
      </c>
    </row>
    <row r="153" spans="1:9" x14ac:dyDescent="0.55000000000000004">
      <c r="A153" s="33">
        <f>'Historical backend'!G157</f>
        <v>45260</v>
      </c>
      <c r="B153" s="29">
        <f>'Historical backend'!H157</f>
        <v>200</v>
      </c>
      <c r="C153" s="29">
        <f>_xlfn.XLOOKUP(A153,'Historical backend'!B:B,'Historical backend'!C:C,_xlfn.XLOOKUP(A154,'Historical backend'!B:B,'Historical backend'!C:C))</f>
        <v>2546</v>
      </c>
      <c r="D153" s="29">
        <f>_xlfn.XLOOKUP(A153,'Historical backend'!L:L,'Historical backend'!M:M)</f>
        <v>24250</v>
      </c>
      <c r="E153" s="29">
        <f t="shared" si="11"/>
        <v>2746</v>
      </c>
      <c r="F153" s="42">
        <f t="shared" si="12"/>
        <v>66590.5</v>
      </c>
      <c r="G153" s="42">
        <f t="shared" si="13"/>
        <v>65863</v>
      </c>
      <c r="H153" s="38">
        <f t="shared" si="14"/>
        <v>1613.8969072164948</v>
      </c>
      <c r="I153" s="42">
        <f t="shared" si="10"/>
        <v>30119.301999999996</v>
      </c>
    </row>
    <row r="154" spans="1:9" x14ac:dyDescent="0.55000000000000004">
      <c r="A154" s="33">
        <f>'Historical backend'!G158</f>
        <v>45253</v>
      </c>
      <c r="B154" s="29">
        <f>'Historical backend'!H158</f>
        <v>230</v>
      </c>
      <c r="C154" s="29">
        <f>_xlfn.XLOOKUP(A154,'Historical backend'!B:B,'Historical backend'!C:C,_xlfn.XLOOKUP(A155,'Historical backend'!B:B,'Historical backend'!C:C))</f>
        <v>2491</v>
      </c>
      <c r="D154" s="29">
        <f>_xlfn.XLOOKUP(A154,'Historical backend'!L:L,'Historical backend'!M:M)</f>
        <v>24240</v>
      </c>
      <c r="E154" s="29">
        <f t="shared" si="11"/>
        <v>2721</v>
      </c>
      <c r="F154" s="42">
        <f t="shared" si="12"/>
        <v>65957.039999999994</v>
      </c>
      <c r="G154" s="42">
        <f t="shared" si="13"/>
        <v>65229.84</v>
      </c>
      <c r="H154" s="38">
        <f t="shared" si="14"/>
        <v>1640.6831683168318</v>
      </c>
      <c r="I154" s="42">
        <f t="shared" si="10"/>
        <v>29611.766999999993</v>
      </c>
    </row>
    <row r="155" spans="1:9" x14ac:dyDescent="0.55000000000000004">
      <c r="A155" s="33">
        <f>'Historical backend'!G159</f>
        <v>45246</v>
      </c>
      <c r="B155" s="29">
        <f>'Historical backend'!H159</f>
        <v>250</v>
      </c>
      <c r="C155" s="29">
        <f>_xlfn.XLOOKUP(A155,'Historical backend'!B:B,'Historical backend'!C:C,_xlfn.XLOOKUP(A156,'Historical backend'!B:B,'Historical backend'!C:C))</f>
        <v>2566</v>
      </c>
      <c r="D155" s="29">
        <f>_xlfn.XLOOKUP(A155,'Historical backend'!L:L,'Historical backend'!M:M)</f>
        <v>24288</v>
      </c>
      <c r="E155" s="29">
        <f t="shared" si="11"/>
        <v>2816</v>
      </c>
      <c r="F155" s="42">
        <f t="shared" si="12"/>
        <v>68395.008000000002</v>
      </c>
      <c r="G155" s="42">
        <f t="shared" si="13"/>
        <v>67666.368000000002</v>
      </c>
      <c r="H155" s="38">
        <f t="shared" si="14"/>
        <v>1537.1225296442688</v>
      </c>
      <c r="I155" s="42">
        <f t="shared" si="10"/>
        <v>30209.932000000001</v>
      </c>
    </row>
    <row r="156" spans="1:9" x14ac:dyDescent="0.55000000000000004">
      <c r="A156" s="33">
        <f>'Historical backend'!G160</f>
        <v>45239</v>
      </c>
      <c r="B156" s="29">
        <f>'Historical backend'!H160</f>
        <v>300</v>
      </c>
      <c r="C156" s="29">
        <f>_xlfn.XLOOKUP(A156,'Historical backend'!B:B,'Historical backend'!C:C,_xlfn.XLOOKUP(A157,'Historical backend'!B:B,'Historical backend'!C:C))</f>
        <v>2430</v>
      </c>
      <c r="D156" s="29">
        <f>_xlfn.XLOOKUP(A156,'Historical backend'!L:L,'Historical backend'!M:M)</f>
        <v>24340</v>
      </c>
      <c r="E156" s="29">
        <f t="shared" si="11"/>
        <v>2730</v>
      </c>
      <c r="F156" s="42">
        <f t="shared" si="12"/>
        <v>66448.2</v>
      </c>
      <c r="G156" s="42">
        <f t="shared" si="13"/>
        <v>65718</v>
      </c>
      <c r="H156" s="38">
        <f t="shared" si="14"/>
        <v>1613.8866064092031</v>
      </c>
      <c r="I156" s="42">
        <f t="shared" si="10"/>
        <v>30060.989999999991</v>
      </c>
    </row>
    <row r="157" spans="1:9" x14ac:dyDescent="0.55000000000000004">
      <c r="A157" s="33">
        <f>'Historical backend'!G161</f>
        <v>45232</v>
      </c>
      <c r="B157" s="29">
        <f>'Historical backend'!H161</f>
        <v>300</v>
      </c>
      <c r="C157" s="29">
        <f>_xlfn.XLOOKUP(A157,'Historical backend'!B:B,'Historical backend'!C:C,_xlfn.XLOOKUP(A158,'Historical backend'!B:B,'Historical backend'!C:C))</f>
        <v>2328</v>
      </c>
      <c r="D157" s="29">
        <f>_xlfn.XLOOKUP(A157,'Historical backend'!L:L,'Historical backend'!M:M)</f>
        <v>24570</v>
      </c>
      <c r="E157" s="29">
        <f t="shared" si="11"/>
        <v>2628</v>
      </c>
      <c r="F157" s="42">
        <f t="shared" si="12"/>
        <v>64569.96</v>
      </c>
      <c r="G157" s="42">
        <f t="shared" si="13"/>
        <v>63832.86</v>
      </c>
      <c r="H157" s="38">
        <f t="shared" si="14"/>
        <v>1675.5042735042734</v>
      </c>
      <c r="I157" s="42">
        <f t="shared" si="10"/>
        <v>29544.783750000002</v>
      </c>
    </row>
    <row r="158" spans="1:9" x14ac:dyDescent="0.55000000000000004">
      <c r="A158" s="33">
        <f>'Historical backend'!G162</f>
        <v>45225</v>
      </c>
      <c r="B158" s="29">
        <f>'Historical backend'!H162</f>
        <v>360</v>
      </c>
      <c r="C158" s="29">
        <f>_xlfn.XLOOKUP(A158,'Historical backend'!B:B,'Historical backend'!C:C,_xlfn.XLOOKUP(A159,'Historical backend'!B:B,'Historical backend'!C:C))</f>
        <v>2420</v>
      </c>
      <c r="D158" s="29">
        <f>_xlfn.XLOOKUP(A158,'Historical backend'!L:L,'Historical backend'!M:M)</f>
        <v>24590</v>
      </c>
      <c r="E158" s="29">
        <f t="shared" si="11"/>
        <v>2780</v>
      </c>
      <c r="F158" s="42">
        <f t="shared" si="12"/>
        <v>68360.2</v>
      </c>
      <c r="G158" s="42">
        <f t="shared" si="13"/>
        <v>67622.5</v>
      </c>
      <c r="H158" s="38">
        <f t="shared" si="14"/>
        <v>1520.0284668564457</v>
      </c>
      <c r="I158" s="42">
        <f t="shared" si="10"/>
        <v>29750.508750000008</v>
      </c>
    </row>
    <row r="159" spans="1:9" x14ac:dyDescent="0.55000000000000004">
      <c r="A159" s="33">
        <f>'Historical backend'!G163</f>
        <v>45218</v>
      </c>
      <c r="B159" s="29">
        <f>'Historical backend'!H163</f>
        <v>360</v>
      </c>
      <c r="C159" s="29">
        <f>_xlfn.XLOOKUP(A159,'Historical backend'!B:B,'Historical backend'!C:C,_xlfn.XLOOKUP(A160,'Historical backend'!B:B,'Historical backend'!C:C))</f>
        <v>2402</v>
      </c>
      <c r="D159" s="29">
        <f>_xlfn.XLOOKUP(A159,'Historical backend'!L:L,'Historical backend'!M:M)</f>
        <v>24550</v>
      </c>
      <c r="E159" s="29">
        <f t="shared" si="11"/>
        <v>2762</v>
      </c>
      <c r="F159" s="42">
        <f t="shared" si="12"/>
        <v>67807.100000000006</v>
      </c>
      <c r="G159" s="42">
        <f t="shared" si="13"/>
        <v>67070.600000000006</v>
      </c>
      <c r="H159" s="38">
        <f t="shared" si="14"/>
        <v>1544.9857433808552</v>
      </c>
      <c r="I159" s="42">
        <f t="shared" si="10"/>
        <v>29560.801250000004</v>
      </c>
    </row>
    <row r="160" spans="1:9" x14ac:dyDescent="0.55000000000000004">
      <c r="A160" s="33">
        <f>'Historical backend'!G164</f>
        <v>45211</v>
      </c>
      <c r="B160" s="29">
        <f>'Historical backend'!H164</f>
        <v>380</v>
      </c>
      <c r="C160" s="29">
        <f>_xlfn.XLOOKUP(A160,'Historical backend'!B:B,'Historical backend'!C:C,_xlfn.XLOOKUP(A161,'Historical backend'!B:B,'Historical backend'!C:C))</f>
        <v>2255</v>
      </c>
      <c r="D160" s="29">
        <f>_xlfn.XLOOKUP(A160,'Historical backend'!L:L,'Historical backend'!M:M)</f>
        <v>24435</v>
      </c>
      <c r="E160" s="29">
        <f t="shared" si="11"/>
        <v>2635</v>
      </c>
      <c r="F160" s="42">
        <f t="shared" si="12"/>
        <v>64386.224999999999</v>
      </c>
      <c r="G160" s="42">
        <f t="shared" si="13"/>
        <v>63653.175000000003</v>
      </c>
      <c r="H160" s="38">
        <f t="shared" si="14"/>
        <v>1692.1147943523633</v>
      </c>
      <c r="I160" s="42">
        <f t="shared" si="10"/>
        <v>29712.91124999999</v>
      </c>
    </row>
    <row r="161" spans="1:9" x14ac:dyDescent="0.55000000000000004">
      <c r="A161" s="33">
        <f>'Historical backend'!G165</f>
        <v>45204</v>
      </c>
      <c r="B161" s="29">
        <f>'Historical backend'!H165</f>
        <v>380</v>
      </c>
      <c r="C161" s="29">
        <f>_xlfn.XLOOKUP(A161,'Historical backend'!B:B,'Historical backend'!C:C,_xlfn.XLOOKUP(A162,'Historical backend'!B:B,'Historical backend'!C:C))</f>
        <v>2302</v>
      </c>
      <c r="D161" s="29">
        <f>_xlfn.XLOOKUP(A161,'Historical backend'!L:L,'Historical backend'!M:M)</f>
        <v>24380</v>
      </c>
      <c r="E161" s="29">
        <f t="shared" si="11"/>
        <v>2682</v>
      </c>
      <c r="F161" s="42">
        <f t="shared" si="12"/>
        <v>65387.16</v>
      </c>
      <c r="G161" s="42">
        <f t="shared" si="13"/>
        <v>64655.76</v>
      </c>
      <c r="H161" s="38">
        <f t="shared" si="14"/>
        <v>1654.8088597210829</v>
      </c>
      <c r="I161" s="42">
        <f t="shared" si="10"/>
        <v>30844.44249999999</v>
      </c>
    </row>
    <row r="162" spans="1:9" x14ac:dyDescent="0.55000000000000004">
      <c r="A162" s="33">
        <f>'Historical backend'!G166</f>
        <v>45197</v>
      </c>
      <c r="B162" s="29">
        <f>'Historical backend'!H166</f>
        <v>400</v>
      </c>
      <c r="C162" s="29">
        <f>_xlfn.XLOOKUP(A162,'Historical backend'!B:B,'Historical backend'!C:C,_xlfn.XLOOKUP(A163,'Historical backend'!B:B,'Historical backend'!C:C))</f>
        <v>2372</v>
      </c>
      <c r="D162" s="29">
        <f>_xlfn.XLOOKUP(A162,'Historical backend'!L:L,'Historical backend'!M:M)</f>
        <v>24385</v>
      </c>
      <c r="E162" s="29">
        <f t="shared" si="11"/>
        <v>2772</v>
      </c>
      <c r="F162" s="42">
        <f t="shared" si="12"/>
        <v>67595.22</v>
      </c>
      <c r="G162" s="42">
        <f t="shared" si="13"/>
        <v>66863.67</v>
      </c>
      <c r="H162" s="38">
        <f t="shared" si="14"/>
        <v>1563.9257740414189</v>
      </c>
      <c r="I162" s="42">
        <f t="shared" si="10"/>
        <v>31083.407500000001</v>
      </c>
    </row>
    <row r="163" spans="1:9" x14ac:dyDescent="0.55000000000000004">
      <c r="A163" s="33">
        <f>'Historical backend'!G167</f>
        <v>45190</v>
      </c>
      <c r="B163" s="29">
        <f>'Historical backend'!H167</f>
        <v>350</v>
      </c>
      <c r="C163" s="29">
        <f>_xlfn.XLOOKUP(A163,'Historical backend'!B:B,'Historical backend'!C:C,_xlfn.XLOOKUP(A164,'Historical backend'!B:B,'Historical backend'!C:C))</f>
        <v>2464</v>
      </c>
      <c r="D163" s="29">
        <f>_xlfn.XLOOKUP(A163,'Historical backend'!L:L,'Historical backend'!M:M)</f>
        <v>24310</v>
      </c>
      <c r="E163" s="29">
        <f t="shared" si="11"/>
        <v>2814</v>
      </c>
      <c r="F163" s="42">
        <f t="shared" si="12"/>
        <v>68408.34</v>
      </c>
      <c r="G163" s="42">
        <f t="shared" si="13"/>
        <v>67679.039999999994</v>
      </c>
      <c r="H163" s="38">
        <f t="shared" si="14"/>
        <v>1535.2102015631431</v>
      </c>
      <c r="I163" s="42">
        <f t="shared" si="10"/>
        <v>31263.625</v>
      </c>
    </row>
    <row r="164" spans="1:9" x14ac:dyDescent="0.55000000000000004">
      <c r="A164" s="33">
        <f>'Historical backend'!G168</f>
        <v>45183</v>
      </c>
      <c r="B164" s="29">
        <f>'Historical backend'!H168</f>
        <v>350</v>
      </c>
      <c r="C164" s="29">
        <f>_xlfn.XLOOKUP(A164,'Historical backend'!B:B,'Historical backend'!C:C,_xlfn.XLOOKUP(A165,'Historical backend'!B:B,'Historical backend'!C:C))</f>
        <v>2495</v>
      </c>
      <c r="D164" s="29">
        <f>_xlfn.XLOOKUP(A164,'Historical backend'!L:L,'Historical backend'!M:M)</f>
        <v>24220</v>
      </c>
      <c r="E164" s="29">
        <f t="shared" si="11"/>
        <v>2845</v>
      </c>
      <c r="F164" s="42">
        <f t="shared" si="12"/>
        <v>68905.899999999994</v>
      </c>
      <c r="G164" s="42">
        <f t="shared" si="13"/>
        <v>68179.3</v>
      </c>
      <c r="H164" s="38">
        <f t="shared" si="14"/>
        <v>1520.2601156069361</v>
      </c>
      <c r="I164" s="42">
        <f t="shared" si="10"/>
        <v>30696.45749999999</v>
      </c>
    </row>
    <row r="165" spans="1:9" x14ac:dyDescent="0.55000000000000004">
      <c r="A165" s="33">
        <f>'Historical backend'!G169</f>
        <v>45176</v>
      </c>
      <c r="B165" s="29">
        <f>'Historical backend'!H169</f>
        <v>350</v>
      </c>
      <c r="C165" s="29">
        <f>_xlfn.XLOOKUP(A165,'Historical backend'!B:B,'Historical backend'!C:C,_xlfn.XLOOKUP(A166,'Historical backend'!B:B,'Historical backend'!C:C))</f>
        <v>2407</v>
      </c>
      <c r="D165" s="29">
        <f>_xlfn.XLOOKUP(A165,'Historical backend'!L:L,'Historical backend'!M:M)</f>
        <v>24060</v>
      </c>
      <c r="E165" s="29">
        <f t="shared" si="11"/>
        <v>2757</v>
      </c>
      <c r="F165" s="42">
        <f t="shared" si="12"/>
        <v>66333.42</v>
      </c>
      <c r="G165" s="42">
        <f t="shared" si="13"/>
        <v>65611.62</v>
      </c>
      <c r="H165" s="38">
        <f t="shared" si="14"/>
        <v>1637.0897755610974</v>
      </c>
      <c r="I165" s="42">
        <f t="shared" si="10"/>
        <v>29935.219999999987</v>
      </c>
    </row>
    <row r="166" spans="1:9" x14ac:dyDescent="0.55000000000000004">
      <c r="A166" s="33">
        <f>'Historical backend'!G170</f>
        <v>45169</v>
      </c>
      <c r="B166" s="29">
        <f>'Historical backend'!H170</f>
        <v>350</v>
      </c>
      <c r="C166" s="29">
        <f>_xlfn.XLOOKUP(A166,'Historical backend'!B:B,'Historical backend'!C:C,_xlfn.XLOOKUP(A167,'Historical backend'!B:B,'Historical backend'!C:C))</f>
        <v>2489</v>
      </c>
      <c r="D166" s="29">
        <f>_xlfn.XLOOKUP(A166,'Historical backend'!L:L,'Historical backend'!M:M)</f>
        <v>24060</v>
      </c>
      <c r="E166" s="29">
        <f t="shared" si="11"/>
        <v>2839</v>
      </c>
      <c r="F166" s="42">
        <f t="shared" si="12"/>
        <v>68306.34</v>
      </c>
      <c r="G166" s="42">
        <f t="shared" si="13"/>
        <v>67584.539999999994</v>
      </c>
      <c r="H166" s="38">
        <f t="shared" si="14"/>
        <v>1555.0897755610974</v>
      </c>
      <c r="I166" s="42">
        <f t="shared" si="10"/>
        <v>30589.505000000005</v>
      </c>
    </row>
    <row r="167" spans="1:9" x14ac:dyDescent="0.55000000000000004">
      <c r="A167" s="33">
        <f>'Historical backend'!G171</f>
        <v>45162</v>
      </c>
      <c r="B167" s="29">
        <f>'Historical backend'!H171</f>
        <v>350</v>
      </c>
      <c r="C167" s="29">
        <f>_xlfn.XLOOKUP(A167,'Historical backend'!B:B,'Historical backend'!C:C,_xlfn.XLOOKUP(A168,'Historical backend'!B:B,'Historical backend'!C:C))</f>
        <v>2406</v>
      </c>
      <c r="D167" s="29">
        <f>_xlfn.XLOOKUP(A167,'Historical backend'!L:L,'Historical backend'!M:M)</f>
        <v>23995</v>
      </c>
      <c r="E167" s="29">
        <f t="shared" si="11"/>
        <v>2756</v>
      </c>
      <c r="F167" s="42">
        <f t="shared" si="12"/>
        <v>66130.22</v>
      </c>
      <c r="G167" s="42">
        <f t="shared" si="13"/>
        <v>65410.37</v>
      </c>
      <c r="H167" s="38">
        <f t="shared" si="14"/>
        <v>1649.9116482600539</v>
      </c>
      <c r="I167" s="42">
        <f t="shared" si="10"/>
        <v>30650.869999999995</v>
      </c>
    </row>
    <row r="168" spans="1:9" x14ac:dyDescent="0.55000000000000004">
      <c r="A168" s="33">
        <f>'Historical backend'!G172</f>
        <v>45155</v>
      </c>
      <c r="B168" s="29">
        <f>'Historical backend'!H172</f>
        <v>370</v>
      </c>
      <c r="C168" s="29">
        <f>_xlfn.XLOOKUP(A168,'Historical backend'!B:B,'Historical backend'!C:C,_xlfn.XLOOKUP(A169,'Historical backend'!B:B,'Historical backend'!C:C))</f>
        <v>2391</v>
      </c>
      <c r="D168" s="29">
        <f>_xlfn.XLOOKUP(A168,'Historical backend'!L:L,'Historical backend'!M:M)</f>
        <v>23850</v>
      </c>
      <c r="E168" s="29">
        <f t="shared" si="11"/>
        <v>2761</v>
      </c>
      <c r="F168" s="42">
        <f t="shared" si="12"/>
        <v>65849.850000000006</v>
      </c>
      <c r="G168" s="42">
        <f t="shared" si="13"/>
        <v>65134.35</v>
      </c>
      <c r="H168" s="38">
        <f t="shared" si="14"/>
        <v>1671.5157232704403</v>
      </c>
      <c r="I168" s="42">
        <f t="shared" si="10"/>
        <v>31091.672250000003</v>
      </c>
    </row>
    <row r="169" spans="1:9" x14ac:dyDescent="0.55000000000000004">
      <c r="A169" s="33">
        <f>'Historical backend'!G173</f>
        <v>45148</v>
      </c>
      <c r="B169" s="29">
        <f>'Historical backend'!H173</f>
        <v>370</v>
      </c>
      <c r="C169" s="29">
        <f>_xlfn.XLOOKUP(A169,'Historical backend'!B:B,'Historical backend'!C:C,_xlfn.XLOOKUP(A170,'Historical backend'!B:B,'Historical backend'!C:C))</f>
        <v>2534</v>
      </c>
      <c r="D169" s="29">
        <f>_xlfn.XLOOKUP(A169,'Historical backend'!L:L,'Historical backend'!M:M)</f>
        <v>23740</v>
      </c>
      <c r="E169" s="29">
        <f t="shared" si="11"/>
        <v>2904</v>
      </c>
      <c r="F169" s="42">
        <f t="shared" si="12"/>
        <v>68940.960000000006</v>
      </c>
      <c r="G169" s="42">
        <f t="shared" si="13"/>
        <v>68228.759999999995</v>
      </c>
      <c r="H169" s="38">
        <f t="shared" si="14"/>
        <v>1548.9149115417019</v>
      </c>
      <c r="I169" s="42">
        <f t="shared" si="10"/>
        <v>31692.042749999993</v>
      </c>
    </row>
    <row r="170" spans="1:9" x14ac:dyDescent="0.55000000000000004">
      <c r="A170" s="33">
        <f>'Historical backend'!G174</f>
        <v>45141</v>
      </c>
      <c r="B170" s="29">
        <f>'Historical backend'!H174</f>
        <v>370</v>
      </c>
      <c r="C170" s="29">
        <f>_xlfn.XLOOKUP(A170,'Historical backend'!B:B,'Historical backend'!C:C,_xlfn.XLOOKUP(A171,'Historical backend'!B:B,'Historical backend'!C:C))</f>
        <v>2516</v>
      </c>
      <c r="D170" s="29">
        <f>_xlfn.XLOOKUP(A170,'Historical backend'!L:L,'Historical backend'!M:M)</f>
        <v>23750</v>
      </c>
      <c r="E170" s="29">
        <f t="shared" si="11"/>
        <v>2886</v>
      </c>
      <c r="F170" s="42">
        <f t="shared" si="12"/>
        <v>68542.5</v>
      </c>
      <c r="G170" s="42">
        <f t="shared" si="13"/>
        <v>67830</v>
      </c>
      <c r="H170" s="38">
        <f t="shared" si="14"/>
        <v>1565.0526315789475</v>
      </c>
      <c r="I170" s="42">
        <f t="shared" si="10"/>
        <v>31466.584000000003</v>
      </c>
    </row>
    <row r="171" spans="1:9" x14ac:dyDescent="0.55000000000000004">
      <c r="A171" s="33">
        <f>'Historical backend'!G175</f>
        <v>45134</v>
      </c>
      <c r="B171" s="29">
        <f>'Historical backend'!H175</f>
        <v>370</v>
      </c>
      <c r="C171" s="29">
        <f>_xlfn.XLOOKUP(A171,'Historical backend'!B:B,'Historical backend'!C:C,_xlfn.XLOOKUP(A172,'Historical backend'!B:B,'Historical backend'!C:C))</f>
        <v>2499</v>
      </c>
      <c r="D171" s="29">
        <f>_xlfn.XLOOKUP(A171,'Historical backend'!L:L,'Historical backend'!M:M)</f>
        <v>23661</v>
      </c>
      <c r="E171" s="29">
        <f t="shared" si="11"/>
        <v>2869</v>
      </c>
      <c r="F171" s="42">
        <f t="shared" si="12"/>
        <v>67883.409</v>
      </c>
      <c r="G171" s="42">
        <f t="shared" si="13"/>
        <v>67173.578999999998</v>
      </c>
      <c r="H171" s="38">
        <f t="shared" si="14"/>
        <v>1598.6822619500444</v>
      </c>
      <c r="I171" s="42">
        <f t="shared" si="10"/>
        <v>31106.084000000003</v>
      </c>
    </row>
    <row r="172" spans="1:9" x14ac:dyDescent="0.55000000000000004">
      <c r="A172" s="33">
        <f>'Historical backend'!G176</f>
        <v>45127</v>
      </c>
      <c r="B172" s="29">
        <f>'Historical backend'!H176</f>
        <v>350</v>
      </c>
      <c r="C172" s="29">
        <f>_xlfn.XLOOKUP(A172,'Historical backend'!B:B,'Historical backend'!C:C,_xlfn.XLOOKUP(A173,'Historical backend'!B:B,'Historical backend'!C:C))</f>
        <v>2536</v>
      </c>
      <c r="D172" s="29">
        <f>_xlfn.XLOOKUP(A172,'Historical backend'!L:L,'Historical backend'!M:M)</f>
        <v>23647</v>
      </c>
      <c r="E172" s="29">
        <f t="shared" si="11"/>
        <v>2886</v>
      </c>
      <c r="F172" s="42">
        <f t="shared" si="12"/>
        <v>68245.241999999998</v>
      </c>
      <c r="G172" s="42">
        <f t="shared" si="13"/>
        <v>67535.831999999995</v>
      </c>
      <c r="H172" s="38">
        <f t="shared" si="14"/>
        <v>1584.3095530088385</v>
      </c>
      <c r="I172" s="42">
        <f t="shared" si="10"/>
        <v>31046.679250000001</v>
      </c>
    </row>
    <row r="173" spans="1:9" x14ac:dyDescent="0.55000000000000004">
      <c r="A173" s="33">
        <f>'Historical backend'!G177</f>
        <v>45120</v>
      </c>
      <c r="B173" s="29">
        <f>'Historical backend'!H177</f>
        <v>350</v>
      </c>
      <c r="C173" s="29">
        <f>_xlfn.XLOOKUP(A173,'Historical backend'!B:B,'Historical backend'!C:C,_xlfn.XLOOKUP(A174,'Historical backend'!B:B,'Historical backend'!C:C))</f>
        <v>2525</v>
      </c>
      <c r="D173" s="29">
        <f>_xlfn.XLOOKUP(A173,'Historical backend'!L:L,'Historical backend'!M:M)</f>
        <v>23665</v>
      </c>
      <c r="E173" s="29">
        <f t="shared" si="11"/>
        <v>2875</v>
      </c>
      <c r="F173" s="42">
        <f t="shared" si="12"/>
        <v>68036.875</v>
      </c>
      <c r="G173" s="42">
        <f t="shared" si="13"/>
        <v>67326.925000000003</v>
      </c>
      <c r="H173" s="38">
        <f t="shared" si="14"/>
        <v>1591.932178322417</v>
      </c>
      <c r="I173" s="42">
        <f t="shared" si="10"/>
        <v>31910.66750000001</v>
      </c>
    </row>
    <row r="174" spans="1:9" x14ac:dyDescent="0.55000000000000004">
      <c r="A174" s="33">
        <f>'Historical backend'!G178</f>
        <v>45113</v>
      </c>
      <c r="B174" s="29">
        <f>'Historical backend'!H178</f>
        <v>320</v>
      </c>
      <c r="C174" s="29">
        <f>_xlfn.XLOOKUP(A174,'Historical backend'!B:B,'Historical backend'!C:C,_xlfn.XLOOKUP(A175,'Historical backend'!B:B,'Historical backend'!C:C))</f>
        <v>2510</v>
      </c>
      <c r="D174" s="29">
        <f>_xlfn.XLOOKUP(A174,'Historical backend'!L:L,'Historical backend'!M:M)</f>
        <v>23710</v>
      </c>
      <c r="E174" s="29">
        <f t="shared" si="11"/>
        <v>2830</v>
      </c>
      <c r="F174" s="42">
        <f t="shared" si="12"/>
        <v>67099.3</v>
      </c>
      <c r="G174" s="42">
        <f t="shared" si="13"/>
        <v>66388</v>
      </c>
      <c r="H174" s="38">
        <f t="shared" si="14"/>
        <v>1628.5111767186843</v>
      </c>
      <c r="I174" s="42">
        <f t="shared" si="10"/>
        <v>32763.85500000001</v>
      </c>
    </row>
    <row r="175" spans="1:9" x14ac:dyDescent="0.55000000000000004">
      <c r="A175" s="33">
        <f>'Historical backend'!G179</f>
        <v>45106</v>
      </c>
      <c r="B175" s="29">
        <f>'Historical backend'!H179</f>
        <v>300</v>
      </c>
      <c r="C175" s="29">
        <f>_xlfn.XLOOKUP(A175,'Historical backend'!B:B,'Historical backend'!C:C,_xlfn.XLOOKUP(A176,'Historical backend'!B:B,'Historical backend'!C:C))</f>
        <v>2570</v>
      </c>
      <c r="D175" s="29">
        <f>_xlfn.XLOOKUP(A175,'Historical backend'!L:L,'Historical backend'!M:M)</f>
        <v>23569</v>
      </c>
      <c r="E175" s="29">
        <f t="shared" si="11"/>
        <v>2870</v>
      </c>
      <c r="F175" s="42">
        <f t="shared" si="12"/>
        <v>67643.03</v>
      </c>
      <c r="G175" s="42">
        <f t="shared" si="13"/>
        <v>66935.960000000006</v>
      </c>
      <c r="H175" s="38">
        <f t="shared" si="14"/>
        <v>1615.0044550044547</v>
      </c>
      <c r="I175" s="42">
        <f t="shared" si="10"/>
        <v>33643.414999999994</v>
      </c>
    </row>
    <row r="176" spans="1:9" x14ac:dyDescent="0.55000000000000004">
      <c r="A176" s="33">
        <f>'Historical backend'!G180</f>
        <v>45099</v>
      </c>
      <c r="B176" s="29">
        <f>'Historical backend'!H180</f>
        <v>300</v>
      </c>
      <c r="C176" s="29">
        <f>_xlfn.XLOOKUP(A176,'Historical backend'!B:B,'Historical backend'!C:C,_xlfn.XLOOKUP(A177,'Historical backend'!B:B,'Historical backend'!C:C))</f>
        <v>2749</v>
      </c>
      <c r="D176" s="29">
        <f>_xlfn.XLOOKUP(A176,'Historical backend'!L:L,'Historical backend'!M:M)</f>
        <v>23515</v>
      </c>
      <c r="E176" s="29">
        <f t="shared" si="11"/>
        <v>3049</v>
      </c>
      <c r="F176" s="42">
        <f t="shared" si="12"/>
        <v>71697.235000000001</v>
      </c>
      <c r="G176" s="42">
        <f t="shared" si="13"/>
        <v>70991.785000000003</v>
      </c>
      <c r="H176" s="38">
        <f t="shared" si="14"/>
        <v>1446.2349564108015</v>
      </c>
      <c r="I176" s="42">
        <f t="shared" si="10"/>
        <v>32979.036250000005</v>
      </c>
    </row>
    <row r="177" spans="1:9" x14ac:dyDescent="0.55000000000000004">
      <c r="A177" s="33">
        <f>'Historical backend'!G181</f>
        <v>45092</v>
      </c>
      <c r="B177" s="29">
        <f>'Historical backend'!H181</f>
        <v>280</v>
      </c>
      <c r="C177" s="29">
        <f>_xlfn.XLOOKUP(A177,'Historical backend'!B:B,'Historical backend'!C:C,_xlfn.XLOOKUP(A178,'Historical backend'!B:B,'Historical backend'!C:C))</f>
        <v>2757</v>
      </c>
      <c r="D177" s="29">
        <f>_xlfn.XLOOKUP(A177,'Historical backend'!L:L,'Historical backend'!M:M)</f>
        <v>23525</v>
      </c>
      <c r="E177" s="29">
        <f t="shared" si="11"/>
        <v>3037</v>
      </c>
      <c r="F177" s="42">
        <f t="shared" si="12"/>
        <v>71445.425000000003</v>
      </c>
      <c r="G177" s="42">
        <f t="shared" si="13"/>
        <v>70739.675000000003</v>
      </c>
      <c r="H177" s="38">
        <f t="shared" si="14"/>
        <v>1456.3368756641871</v>
      </c>
      <c r="I177" s="42">
        <f t="shared" si="10"/>
        <v>30357.505000000005</v>
      </c>
    </row>
    <row r="178" spans="1:9" x14ac:dyDescent="0.55000000000000004">
      <c r="A178" s="33">
        <f>'Historical backend'!G182</f>
        <v>45085</v>
      </c>
      <c r="B178" s="29">
        <f>'Historical backend'!H182</f>
        <v>280</v>
      </c>
      <c r="C178" s="29">
        <f>_xlfn.XLOOKUP(A178,'Historical backend'!B:B,'Historical backend'!C:C,_xlfn.XLOOKUP(A179,'Historical backend'!B:B,'Historical backend'!C:C))</f>
        <v>2726</v>
      </c>
      <c r="D178" s="29">
        <f>_xlfn.XLOOKUP(A178,'Historical backend'!L:L,'Historical backend'!M:M)</f>
        <v>23490</v>
      </c>
      <c r="E178" s="29">
        <f t="shared" si="11"/>
        <v>3006</v>
      </c>
      <c r="F178" s="42">
        <f t="shared" si="12"/>
        <v>70610.94</v>
      </c>
      <c r="G178" s="42">
        <f t="shared" si="13"/>
        <v>69906.240000000005</v>
      </c>
      <c r="H178" s="38">
        <f t="shared" si="14"/>
        <v>1493.987228607918</v>
      </c>
      <c r="I178" s="42">
        <f t="shared" si="10"/>
        <v>28044.061249999999</v>
      </c>
    </row>
    <row r="179" spans="1:9" x14ac:dyDescent="0.55000000000000004">
      <c r="A179" s="33">
        <f>'Historical backend'!G183</f>
        <v>45078</v>
      </c>
      <c r="B179" s="29">
        <f>'Historical backend'!H183</f>
        <v>200</v>
      </c>
      <c r="C179" s="29">
        <f>_xlfn.XLOOKUP(A179,'Historical backend'!B:B,'Historical backend'!C:C,_xlfn.XLOOKUP(A180,'Historical backend'!B:B,'Historical backend'!C:C))</f>
        <v>2567</v>
      </c>
      <c r="D179" s="29">
        <f>_xlfn.XLOOKUP(A179,'Historical backend'!L:L,'Historical backend'!M:M)</f>
        <v>23485</v>
      </c>
      <c r="E179" s="29">
        <f t="shared" si="11"/>
        <v>2767</v>
      </c>
      <c r="F179" s="42">
        <f t="shared" si="12"/>
        <v>64982.995000000003</v>
      </c>
      <c r="G179" s="42">
        <f t="shared" si="13"/>
        <v>64278.445</v>
      </c>
      <c r="H179" s="38">
        <f t="shared" si="14"/>
        <v>1733.9388971684052</v>
      </c>
      <c r="I179" s="42">
        <f t="shared" si="10"/>
        <v>25414.980000000003</v>
      </c>
    </row>
    <row r="180" spans="1:9" x14ac:dyDescent="0.55000000000000004">
      <c r="A180" s="33">
        <f>'Historical backend'!G184</f>
        <v>45071</v>
      </c>
      <c r="B180" s="29">
        <f>'Historical backend'!H184</f>
        <v>100</v>
      </c>
      <c r="C180" s="29">
        <f>_xlfn.XLOOKUP(A180,'Historical backend'!B:B,'Historical backend'!C:C,_xlfn.XLOOKUP(A181,'Historical backend'!B:B,'Historical backend'!C:C))</f>
        <v>2508</v>
      </c>
      <c r="D180" s="29">
        <f>_xlfn.XLOOKUP(A180,'Historical backend'!L:L,'Historical backend'!M:M)</f>
        <v>23470</v>
      </c>
      <c r="E180" s="29">
        <f t="shared" si="11"/>
        <v>2608</v>
      </c>
      <c r="F180" s="42">
        <f t="shared" si="12"/>
        <v>61209.760000000002</v>
      </c>
      <c r="G180" s="42">
        <f t="shared" si="13"/>
        <v>60505.66</v>
      </c>
      <c r="H180" s="38">
        <f t="shared" si="14"/>
        <v>1895.7963357477629</v>
      </c>
      <c r="I180" s="42">
        <f t="shared" si="10"/>
        <v>23658.541250000002</v>
      </c>
    </row>
    <row r="181" spans="1:9" x14ac:dyDescent="0.55000000000000004">
      <c r="A181" s="33">
        <f>'Historical backend'!G185</f>
        <v>45063</v>
      </c>
      <c r="B181" s="29">
        <f>'Historical backend'!H185</f>
        <v>70</v>
      </c>
      <c r="C181" s="29">
        <f>_xlfn.XLOOKUP(A181,'Historical backend'!B:B,'Historical backend'!C:C,_xlfn.XLOOKUP(A182,'Historical backend'!B:B,'Historical backend'!C:C))</f>
        <v>2582</v>
      </c>
      <c r="D181" s="29">
        <f>_xlfn.XLOOKUP(A181,'Historical backend'!L:L,'Historical backend'!M:M)</f>
        <v>23450</v>
      </c>
      <c r="E181" s="29">
        <f t="shared" si="11"/>
        <v>2652</v>
      </c>
      <c r="F181" s="42">
        <f t="shared" si="12"/>
        <v>62189.4</v>
      </c>
      <c r="G181" s="42">
        <f t="shared" si="13"/>
        <v>61485.9</v>
      </c>
      <c r="H181" s="38">
        <f t="shared" si="14"/>
        <v>1855.6119402985073</v>
      </c>
      <c r="I181" s="42">
        <f t="shared" si="10"/>
        <v>22804.270000000004</v>
      </c>
    </row>
    <row r="182" spans="1:9" x14ac:dyDescent="0.55000000000000004">
      <c r="A182" s="33">
        <f>'Historical backend'!G186</f>
        <v>45056</v>
      </c>
      <c r="B182" s="29">
        <f>'Historical backend'!H186</f>
        <v>80</v>
      </c>
      <c r="C182" s="29">
        <f>_xlfn.XLOOKUP(A182,'Historical backend'!B:B,'Historical backend'!C:C,_xlfn.XLOOKUP(A183,'Historical backend'!B:B,'Historical backend'!C:C))</f>
        <v>2481</v>
      </c>
      <c r="D182" s="29">
        <f>_xlfn.XLOOKUP(A182,'Historical backend'!L:L,'Historical backend'!M:M)</f>
        <v>23465</v>
      </c>
      <c r="E182" s="29">
        <f t="shared" si="11"/>
        <v>2561</v>
      </c>
      <c r="F182" s="42">
        <f t="shared" si="12"/>
        <v>60093.864999999998</v>
      </c>
      <c r="G182" s="42">
        <f t="shared" si="13"/>
        <v>59389.915000000001</v>
      </c>
      <c r="H182" s="38">
        <f t="shared" si="14"/>
        <v>1943.7496271041975</v>
      </c>
      <c r="I182" s="42">
        <f t="shared" si="10"/>
        <v>21549.082999999999</v>
      </c>
    </row>
    <row r="183" spans="1:9" x14ac:dyDescent="0.55000000000000004">
      <c r="A183" s="33">
        <f>'Historical backend'!G187</f>
        <v>45050</v>
      </c>
      <c r="B183" s="29">
        <f>'Historical backend'!H187</f>
        <v>60</v>
      </c>
      <c r="C183" s="29">
        <f>_xlfn.XLOOKUP(A183,'Historical backend'!B:B,'Historical backend'!C:C,_xlfn.XLOOKUP(A184,'Historical backend'!B:B,'Historical backend'!C:C))</f>
        <v>2412</v>
      </c>
      <c r="D183" s="29">
        <f>_xlfn.XLOOKUP(A183,'Historical backend'!L:L,'Historical backend'!M:M)</f>
        <v>23445</v>
      </c>
      <c r="E183" s="29">
        <f t="shared" si="11"/>
        <v>2472</v>
      </c>
      <c r="F183" s="42">
        <f t="shared" si="12"/>
        <v>57956.04</v>
      </c>
      <c r="G183" s="42">
        <f t="shared" si="13"/>
        <v>57252.69</v>
      </c>
      <c r="H183" s="38">
        <f t="shared" si="14"/>
        <v>2036.5668586052461</v>
      </c>
      <c r="I183" s="42">
        <f t="shared" si="10"/>
        <v>20835.924250000004</v>
      </c>
    </row>
    <row r="184" spans="1:9" x14ac:dyDescent="0.55000000000000004">
      <c r="A184" s="33">
        <f>'Historical backend'!G188</f>
        <v>45043</v>
      </c>
      <c r="B184" s="29">
        <f>'Historical backend'!H188</f>
        <v>60</v>
      </c>
      <c r="C184" s="29">
        <f>_xlfn.XLOOKUP(A184,'Historical backend'!B:B,'Historical backend'!C:C,_xlfn.XLOOKUP(A185,'Historical backend'!B:B,'Historical backend'!C:C))</f>
        <v>2405</v>
      </c>
      <c r="D184" s="29">
        <f>_xlfn.XLOOKUP(A184,'Historical backend'!L:L,'Historical backend'!M:M)</f>
        <v>23445</v>
      </c>
      <c r="E184" s="29">
        <f t="shared" si="11"/>
        <v>2465</v>
      </c>
      <c r="F184" s="42">
        <f t="shared" si="12"/>
        <v>57791.925000000003</v>
      </c>
      <c r="G184" s="42">
        <f t="shared" si="13"/>
        <v>57088.574999999997</v>
      </c>
      <c r="H184" s="38">
        <f t="shared" si="14"/>
        <v>2043.5668586052461</v>
      </c>
      <c r="I184" s="42">
        <f t="shared" si="10"/>
        <v>19924.998249999997</v>
      </c>
    </row>
    <row r="185" spans="1:9" x14ac:dyDescent="0.55000000000000004">
      <c r="A185" s="33">
        <f>'Historical backend'!G189</f>
        <v>45036</v>
      </c>
      <c r="B185" s="29">
        <f>'Historical backend'!H189</f>
        <v>60</v>
      </c>
      <c r="C185" s="29">
        <f>_xlfn.XLOOKUP(A185,'Historical backend'!B:B,'Historical backend'!C:C,_xlfn.XLOOKUP(A186,'Historical backend'!B:B,'Historical backend'!C:C))</f>
        <v>2374</v>
      </c>
      <c r="D185" s="29">
        <f>_xlfn.XLOOKUP(A185,'Historical backend'!L:L,'Historical backend'!M:M)</f>
        <v>23488</v>
      </c>
      <c r="E185" s="29">
        <f t="shared" si="11"/>
        <v>2434</v>
      </c>
      <c r="F185" s="42">
        <f t="shared" si="12"/>
        <v>57169.792000000001</v>
      </c>
      <c r="G185" s="42">
        <f t="shared" si="13"/>
        <v>56465.152000000002</v>
      </c>
      <c r="H185" s="38">
        <f t="shared" si="14"/>
        <v>2066.367847411444</v>
      </c>
      <c r="I185" s="42">
        <f t="shared" si="10"/>
        <v>18567.222000000002</v>
      </c>
    </row>
    <row r="186" spans="1:9" x14ac:dyDescent="0.55000000000000004">
      <c r="A186" s="33">
        <f>'Historical backend'!G190</f>
        <v>45029</v>
      </c>
      <c r="B186" s="29">
        <f>'Historical backend'!H190</f>
        <v>60</v>
      </c>
      <c r="C186" s="29">
        <f>_xlfn.XLOOKUP(A186,'Historical backend'!B:B,'Historical backend'!C:C,_xlfn.XLOOKUP(A187,'Historical backend'!B:B,'Historical backend'!C:C))</f>
        <v>2382</v>
      </c>
      <c r="D186" s="29">
        <f>_xlfn.XLOOKUP(A186,'Historical backend'!L:L,'Historical backend'!M:M)</f>
        <v>23440</v>
      </c>
      <c r="E186" s="29">
        <f t="shared" si="11"/>
        <v>2442</v>
      </c>
      <c r="F186" s="42">
        <f t="shared" si="12"/>
        <v>57240.480000000003</v>
      </c>
      <c r="G186" s="42">
        <f t="shared" si="13"/>
        <v>56537.279999999999</v>
      </c>
      <c r="H186" s="38">
        <f t="shared" si="14"/>
        <v>2067.5221843003415</v>
      </c>
      <c r="I186" s="42">
        <f t="shared" si="10"/>
        <v>17100.298999999999</v>
      </c>
    </row>
    <row r="187" spans="1:9" x14ac:dyDescent="0.55000000000000004">
      <c r="A187" s="33">
        <f>'Historical backend'!G191</f>
        <v>45022</v>
      </c>
      <c r="B187" s="29">
        <f>'Historical backend'!H191</f>
        <v>60</v>
      </c>
      <c r="C187" s="29">
        <f>_xlfn.XLOOKUP(A187,'Historical backend'!B:B,'Historical backend'!C:C,_xlfn.XLOOKUP(A188,'Historical backend'!B:B,'Historical backend'!C:C))</f>
        <v>2256</v>
      </c>
      <c r="D187" s="29">
        <f>_xlfn.XLOOKUP(A187,'Historical backend'!L:L,'Historical backend'!M:M)</f>
        <v>23451</v>
      </c>
      <c r="E187" s="29">
        <f t="shared" si="11"/>
        <v>2316</v>
      </c>
      <c r="F187" s="42">
        <f t="shared" si="12"/>
        <v>54312.516000000003</v>
      </c>
      <c r="G187" s="42">
        <f t="shared" si="13"/>
        <v>53608.985999999997</v>
      </c>
      <c r="H187" s="38">
        <f t="shared" si="14"/>
        <v>2191.4210055008321</v>
      </c>
      <c r="I187" s="42">
        <f t="shared" si="10"/>
        <v>15358.538999999997</v>
      </c>
    </row>
    <row r="188" spans="1:9" x14ac:dyDescent="0.55000000000000004">
      <c r="A188" s="33">
        <f>'Historical backend'!G192</f>
        <v>45015</v>
      </c>
      <c r="B188" s="29">
        <f>'Historical backend'!H192</f>
        <v>60</v>
      </c>
      <c r="C188" s="29">
        <f>_xlfn.XLOOKUP(A188,'Historical backend'!B:B,'Historical backend'!C:C,_xlfn.XLOOKUP(A189,'Historical backend'!B:B,'Historical backend'!C:C))</f>
        <v>2171</v>
      </c>
      <c r="D188" s="29">
        <f>_xlfn.XLOOKUP(A188,'Historical backend'!L:L,'Historical backend'!M:M)</f>
        <v>23470</v>
      </c>
      <c r="E188" s="29">
        <f t="shared" si="11"/>
        <v>2231</v>
      </c>
      <c r="F188" s="42">
        <f t="shared" si="12"/>
        <v>52361.57</v>
      </c>
      <c r="G188" s="42">
        <f t="shared" si="13"/>
        <v>51657.47</v>
      </c>
      <c r="H188" s="38">
        <f t="shared" si="14"/>
        <v>2272.7963357477629</v>
      </c>
      <c r="I188" s="42">
        <f t="shared" si="10"/>
        <v>14790.852499999994</v>
      </c>
    </row>
    <row r="189" spans="1:9" x14ac:dyDescent="0.55000000000000004">
      <c r="A189" s="33">
        <f>'Historical backend'!G193</f>
        <v>45008</v>
      </c>
      <c r="B189" s="29">
        <f>'Historical backend'!H193</f>
        <v>60</v>
      </c>
      <c r="C189" s="29">
        <f>_xlfn.XLOOKUP(A189,'Historical backend'!B:B,'Historical backend'!C:C,_xlfn.XLOOKUP(A190,'Historical backend'!B:B,'Historical backend'!C:C))</f>
        <v>2124</v>
      </c>
      <c r="D189" s="29">
        <f>_xlfn.XLOOKUP(A189,'Historical backend'!L:L,'Historical backend'!M:M)</f>
        <v>23490</v>
      </c>
      <c r="E189" s="29">
        <f t="shared" si="11"/>
        <v>2184</v>
      </c>
      <c r="F189" s="42">
        <f t="shared" si="12"/>
        <v>51302.16</v>
      </c>
      <c r="G189" s="42">
        <f t="shared" si="13"/>
        <v>50597.46</v>
      </c>
      <c r="H189" s="38">
        <f t="shared" si="14"/>
        <v>2315.987228607918</v>
      </c>
      <c r="I189" s="42">
        <f t="shared" si="10"/>
        <v>14733.735000000001</v>
      </c>
    </row>
    <row r="190" spans="1:9" x14ac:dyDescent="0.55000000000000004">
      <c r="A190" s="33">
        <f>'Historical backend'!G194</f>
        <v>45001</v>
      </c>
      <c r="B190" s="29">
        <f>'Historical backend'!H194</f>
        <v>30</v>
      </c>
      <c r="C190" s="29">
        <f>_xlfn.XLOOKUP(A190,'Historical backend'!B:B,'Historical backend'!C:C,_xlfn.XLOOKUP(A191,'Historical backend'!B:B,'Historical backend'!C:C))</f>
        <v>2104</v>
      </c>
      <c r="D190" s="29">
        <f>_xlfn.XLOOKUP(A190,'Historical backend'!L:L,'Historical backend'!M:M)</f>
        <v>23560</v>
      </c>
      <c r="E190" s="29">
        <f t="shared" si="11"/>
        <v>2134</v>
      </c>
      <c r="F190" s="42">
        <f t="shared" si="12"/>
        <v>50277.04</v>
      </c>
      <c r="G190" s="42">
        <f t="shared" si="13"/>
        <v>49570.239999999998</v>
      </c>
      <c r="H190" s="38">
        <f t="shared" si="14"/>
        <v>2352.7062818336162</v>
      </c>
      <c r="I190" s="42">
        <f t="shared" si="10"/>
        <v>14712.273749999993</v>
      </c>
    </row>
    <row r="191" spans="1:9" x14ac:dyDescent="0.55000000000000004">
      <c r="A191" s="33">
        <f>'Historical backend'!G195</f>
        <v>44994</v>
      </c>
      <c r="B191" s="29">
        <f>'Historical backend'!H195</f>
        <v>30</v>
      </c>
      <c r="C191" s="29">
        <f>_xlfn.XLOOKUP(A191,'Historical backend'!B:B,'Historical backend'!C:C,_xlfn.XLOOKUP(A192,'Historical backend'!B:B,'Historical backend'!C:C))</f>
        <v>2168</v>
      </c>
      <c r="D191" s="29">
        <f>_xlfn.XLOOKUP(A191,'Historical backend'!L:L,'Historical backend'!M:M)</f>
        <v>23680</v>
      </c>
      <c r="E191" s="29">
        <f t="shared" si="11"/>
        <v>2198</v>
      </c>
      <c r="F191" s="42">
        <f t="shared" si="12"/>
        <v>52048.639999999999</v>
      </c>
      <c r="G191" s="42">
        <f t="shared" si="13"/>
        <v>51338.239999999998</v>
      </c>
      <c r="H191" s="38">
        <f t="shared" si="14"/>
        <v>2266.1216216216217</v>
      </c>
      <c r="I191" s="42">
        <f t="shared" si="10"/>
        <v>14349.153749999998</v>
      </c>
    </row>
    <row r="192" spans="1:9" x14ac:dyDescent="0.55000000000000004">
      <c r="A192" s="33">
        <f>'Historical backend'!G196</f>
        <v>44987</v>
      </c>
      <c r="B192" s="29">
        <f>'Historical backend'!H196</f>
        <v>20</v>
      </c>
      <c r="C192" s="29">
        <f>_xlfn.XLOOKUP(A192,'Historical backend'!B:B,'Historical backend'!C:C,_xlfn.XLOOKUP(A193,'Historical backend'!B:B,'Historical backend'!C:C))</f>
        <v>2180</v>
      </c>
      <c r="D192" s="29">
        <f>_xlfn.XLOOKUP(A192,'Historical backend'!L:L,'Historical backend'!M:M)</f>
        <v>23700</v>
      </c>
      <c r="E192" s="29">
        <f t="shared" si="11"/>
        <v>2200</v>
      </c>
      <c r="F192" s="42">
        <f t="shared" si="12"/>
        <v>52140</v>
      </c>
      <c r="G192" s="42">
        <f t="shared" si="13"/>
        <v>51429</v>
      </c>
      <c r="H192" s="38">
        <f t="shared" si="14"/>
        <v>2260.3797468354433</v>
      </c>
      <c r="I192" s="42">
        <f t="shared" si="10"/>
        <v>13247.473749999997</v>
      </c>
    </row>
    <row r="193" spans="1:9" x14ac:dyDescent="0.55000000000000004">
      <c r="A193" s="33">
        <f>'Historical backend'!G197</f>
        <v>44980</v>
      </c>
      <c r="B193" s="29">
        <f>'Historical backend'!H197</f>
        <v>-10</v>
      </c>
      <c r="C193" s="29">
        <f>_xlfn.XLOOKUP(A193,'Historical backend'!B:B,'Historical backend'!C:C,_xlfn.XLOOKUP(A194,'Historical backend'!B:B,'Historical backend'!C:C))</f>
        <v>2161</v>
      </c>
      <c r="D193" s="29">
        <f>_xlfn.XLOOKUP(A193,'Historical backend'!L:L,'Historical backend'!M:M)</f>
        <v>23815</v>
      </c>
      <c r="E193" s="29">
        <f t="shared" si="11"/>
        <v>2151</v>
      </c>
      <c r="F193" s="42">
        <f t="shared" si="12"/>
        <v>51226.065000000002</v>
      </c>
      <c r="G193" s="42">
        <f t="shared" si="13"/>
        <v>50511.614999999998</v>
      </c>
      <c r="H193" s="38">
        <f t="shared" si="14"/>
        <v>2287.9859332353562</v>
      </c>
      <c r="I193" s="42">
        <f t="shared" si="10"/>
        <v>12314.040249999998</v>
      </c>
    </row>
    <row r="194" spans="1:9" x14ac:dyDescent="0.55000000000000004">
      <c r="A194" s="33">
        <f>'Historical backend'!G198</f>
        <v>44973</v>
      </c>
      <c r="B194" s="29">
        <f>'Historical backend'!H198</f>
        <v>-10</v>
      </c>
      <c r="C194" s="29">
        <f>_xlfn.XLOOKUP(A194,'Historical backend'!B:B,'Historical backend'!C:C,_xlfn.XLOOKUP(A195,'Historical backend'!B:B,'Historical backend'!C:C))</f>
        <v>2072</v>
      </c>
      <c r="D194" s="29">
        <f>_xlfn.XLOOKUP(A194,'Historical backend'!L:L,'Historical backend'!M:M)</f>
        <v>23680</v>
      </c>
      <c r="E194" s="29">
        <f t="shared" si="11"/>
        <v>2062</v>
      </c>
      <c r="F194" s="42">
        <f t="shared" si="12"/>
        <v>48828.160000000003</v>
      </c>
      <c r="G194" s="42">
        <f t="shared" si="13"/>
        <v>48117.760000000002</v>
      </c>
      <c r="H194" s="38">
        <f t="shared" si="14"/>
        <v>2402.1216216216217</v>
      </c>
      <c r="I194" s="42">
        <f t="shared" ref="I194:I257" si="15">AVERAGE(G194:G197)-$R$6</f>
        <v>11124.856500000002</v>
      </c>
    </row>
    <row r="195" spans="1:9" x14ac:dyDescent="0.55000000000000004">
      <c r="A195" s="33">
        <f>'Historical backend'!G199</f>
        <v>44966</v>
      </c>
      <c r="B195" s="29">
        <f>'Historical backend'!H199</f>
        <v>-10</v>
      </c>
      <c r="C195" s="29">
        <f>_xlfn.XLOOKUP(A195,'Historical backend'!B:B,'Historical backend'!C:C,_xlfn.XLOOKUP(A196,'Historical backend'!B:B,'Historical backend'!C:C))</f>
        <v>2032</v>
      </c>
      <c r="D195" s="29">
        <f>_xlfn.XLOOKUP(A195,'Historical backend'!L:L,'Historical backend'!M:M)</f>
        <v>23560</v>
      </c>
      <c r="E195" s="29">
        <f t="shared" ref="E195:E258" si="16">C195+B195</f>
        <v>2022</v>
      </c>
      <c r="F195" s="42">
        <f t="shared" ref="F195:F258" si="17">E195*D195/1000</f>
        <v>47638.32</v>
      </c>
      <c r="G195" s="42">
        <f t="shared" ref="G195:G258" si="18">(E195-$R$2)*D195/1000</f>
        <v>46931.519999999997</v>
      </c>
      <c r="H195" s="38">
        <f t="shared" ref="H195:H258" si="19">($R$4-G195)/D195*1000</f>
        <v>2464.7062818336167</v>
      </c>
      <c r="I195" s="42">
        <f t="shared" si="15"/>
        <v>10334.896500000003</v>
      </c>
    </row>
    <row r="196" spans="1:9" x14ac:dyDescent="0.55000000000000004">
      <c r="A196" s="33">
        <f>'Historical backend'!G200</f>
        <v>44959</v>
      </c>
      <c r="B196" s="29">
        <f>'Historical backend'!H200</f>
        <v>20</v>
      </c>
      <c r="C196" s="29">
        <f>_xlfn.XLOOKUP(A196,'Historical backend'!B:B,'Historical backend'!C:C,_xlfn.XLOOKUP(A197,'Historical backend'!B:B,'Historical backend'!C:C))</f>
        <v>2044</v>
      </c>
      <c r="D196" s="29">
        <f>_xlfn.XLOOKUP(A196,'Historical backend'!L:L,'Historical backend'!M:M)</f>
        <v>23449</v>
      </c>
      <c r="E196" s="29">
        <f t="shared" si="16"/>
        <v>2064</v>
      </c>
      <c r="F196" s="42">
        <f t="shared" si="17"/>
        <v>48398.735999999997</v>
      </c>
      <c r="G196" s="42">
        <f t="shared" si="18"/>
        <v>47695.266000000003</v>
      </c>
      <c r="H196" s="38">
        <f t="shared" si="19"/>
        <v>2443.8028913812955</v>
      </c>
      <c r="I196" s="42">
        <f t="shared" si="15"/>
        <v>9623.7359999999971</v>
      </c>
    </row>
    <row r="197" spans="1:9" x14ac:dyDescent="0.55000000000000004">
      <c r="A197" s="33">
        <f>'Historical backend'!G201</f>
        <v>44952</v>
      </c>
      <c r="B197" s="29">
        <f>'Historical backend'!H201</f>
        <v>20</v>
      </c>
      <c r="C197" s="29">
        <f>_xlfn.XLOOKUP(A197,'Historical backend'!B:B,'Historical backend'!C:C,_xlfn.XLOOKUP(A198,'Historical backend'!B:B,'Historical backend'!C:C))</f>
        <v>1962</v>
      </c>
      <c r="D197" s="29">
        <f>_xlfn.XLOOKUP(A197,'Historical backend'!L:L,'Historical backend'!M:M)</f>
        <v>23440</v>
      </c>
      <c r="E197" s="29">
        <f t="shared" si="16"/>
        <v>1982</v>
      </c>
      <c r="F197" s="42">
        <f t="shared" si="17"/>
        <v>46458.080000000002</v>
      </c>
      <c r="G197" s="42">
        <f t="shared" si="18"/>
        <v>45754.879999999997</v>
      </c>
      <c r="H197" s="38">
        <f t="shared" si="19"/>
        <v>2527.5221843003415</v>
      </c>
      <c r="I197" s="42">
        <f t="shared" si="15"/>
        <v>8451.469499999992</v>
      </c>
    </row>
    <row r="198" spans="1:9" x14ac:dyDescent="0.55000000000000004">
      <c r="A198" s="33">
        <f>'Historical backend'!G202</f>
        <v>44945</v>
      </c>
      <c r="B198" s="29">
        <f>'Historical backend'!H202</f>
        <v>30</v>
      </c>
      <c r="C198" s="29">
        <f>_xlfn.XLOOKUP(A198,'Historical backend'!B:B,'Historical backend'!C:C,_xlfn.XLOOKUP(A199,'Historical backend'!B:B,'Historical backend'!C:C))</f>
        <v>1918</v>
      </c>
      <c r="D198" s="29">
        <f>_xlfn.XLOOKUP(A198,'Historical backend'!L:L,'Historical backend'!M:M)</f>
        <v>23440</v>
      </c>
      <c r="E198" s="29">
        <f t="shared" si="16"/>
        <v>1948</v>
      </c>
      <c r="F198" s="42">
        <f t="shared" si="17"/>
        <v>45661.120000000003</v>
      </c>
      <c r="G198" s="42">
        <f t="shared" si="18"/>
        <v>44957.919999999998</v>
      </c>
      <c r="H198" s="38">
        <f t="shared" si="19"/>
        <v>2561.5221843003415</v>
      </c>
      <c r="I198" s="42">
        <f t="shared" si="15"/>
        <v>7833.3494999999966</v>
      </c>
    </row>
    <row r="199" spans="1:9" x14ac:dyDescent="0.55000000000000004">
      <c r="A199" s="33">
        <f>'Historical backend'!G203</f>
        <v>44938</v>
      </c>
      <c r="B199" s="29">
        <f>'Historical backend'!H203</f>
        <v>30</v>
      </c>
      <c r="C199" s="29">
        <f>_xlfn.XLOOKUP(A199,'Historical backend'!B:B,'Historical backend'!C:C,_xlfn.XLOOKUP(A200,'Historical backend'!B:B,'Historical backend'!C:C))</f>
        <v>1881</v>
      </c>
      <c r="D199" s="29">
        <f>_xlfn.XLOOKUP(A199,'Historical backend'!L:L,'Historical backend'!M:M)</f>
        <v>23438</v>
      </c>
      <c r="E199" s="29">
        <f t="shared" si="16"/>
        <v>1911</v>
      </c>
      <c r="F199" s="42">
        <f t="shared" si="17"/>
        <v>44790.017999999996</v>
      </c>
      <c r="G199" s="42">
        <f t="shared" si="18"/>
        <v>44086.877999999997</v>
      </c>
      <c r="H199" s="38">
        <f t="shared" si="19"/>
        <v>2598.9044287055208</v>
      </c>
      <c r="I199" s="42">
        <f t="shared" si="15"/>
        <v>7747.2295000000013</v>
      </c>
    </row>
    <row r="200" spans="1:9" x14ac:dyDescent="0.55000000000000004">
      <c r="A200" s="33">
        <f>'Historical backend'!G204</f>
        <v>44931</v>
      </c>
      <c r="B200" s="29">
        <f>'Historical backend'!H204</f>
        <v>30</v>
      </c>
      <c r="C200" s="29">
        <f>_xlfn.XLOOKUP(A200,'Historical backend'!B:B,'Historical backend'!C:C,_xlfn.XLOOKUP(A201,'Historical backend'!B:B,'Historical backend'!C:C))</f>
        <v>1832</v>
      </c>
      <c r="D200" s="29">
        <f>_xlfn.XLOOKUP(A200,'Historical backend'!L:L,'Historical backend'!M:M)</f>
        <v>23475</v>
      </c>
      <c r="E200" s="29">
        <f t="shared" si="16"/>
        <v>1862</v>
      </c>
      <c r="F200" s="42">
        <f t="shared" si="17"/>
        <v>43710.45</v>
      </c>
      <c r="G200" s="42">
        <f t="shared" si="18"/>
        <v>43006.2</v>
      </c>
      <c r="H200" s="38">
        <f t="shared" si="19"/>
        <v>2640.8434504792335</v>
      </c>
      <c r="I200" s="42">
        <f t="shared" si="15"/>
        <v>7817.510000000002</v>
      </c>
    </row>
    <row r="201" spans="1:9" x14ac:dyDescent="0.55000000000000004">
      <c r="A201" s="33">
        <f>'Historical backend'!G205</f>
        <v>44924</v>
      </c>
      <c r="B201" s="29">
        <f>'Historical backend'!H205</f>
        <v>40</v>
      </c>
      <c r="C201" s="29">
        <f>_xlfn.XLOOKUP(A201,'Historical backend'!B:B,'Historical backend'!C:C,_xlfn.XLOOKUP(A202,'Historical backend'!B:B,'Historical backend'!C:C))</f>
        <v>1824</v>
      </c>
      <c r="D201" s="29">
        <f>_xlfn.XLOOKUP(A201,'Historical backend'!L:L,'Historical backend'!M:M)</f>
        <v>23600</v>
      </c>
      <c r="E201" s="29">
        <f t="shared" si="16"/>
        <v>1864</v>
      </c>
      <c r="F201" s="42">
        <f t="shared" si="17"/>
        <v>43990.400000000001</v>
      </c>
      <c r="G201" s="42">
        <f t="shared" si="18"/>
        <v>43282.400000000001</v>
      </c>
      <c r="H201" s="38">
        <f t="shared" si="19"/>
        <v>2615.1525423728813</v>
      </c>
      <c r="I201" s="42">
        <f t="shared" si="15"/>
        <v>8040.43</v>
      </c>
    </row>
    <row r="202" spans="1:9" x14ac:dyDescent="0.55000000000000004">
      <c r="A202" s="33">
        <f>'Historical backend'!G206</f>
        <v>44917</v>
      </c>
      <c r="B202" s="29">
        <f>'Historical backend'!H206</f>
        <v>40</v>
      </c>
      <c r="C202" s="29">
        <f>_xlfn.XLOOKUP(A202,'Historical backend'!B:B,'Historical backend'!C:C,_xlfn.XLOOKUP(A203,'Historical backend'!B:B,'Historical backend'!C:C))</f>
        <v>1878</v>
      </c>
      <c r="D202" s="29">
        <f>_xlfn.XLOOKUP(A202,'Historical backend'!L:L,'Historical backend'!M:M)</f>
        <v>23630</v>
      </c>
      <c r="E202" s="29">
        <f t="shared" si="16"/>
        <v>1918</v>
      </c>
      <c r="F202" s="42">
        <f t="shared" si="17"/>
        <v>45322.34</v>
      </c>
      <c r="G202" s="42">
        <f t="shared" si="18"/>
        <v>44613.440000000002</v>
      </c>
      <c r="H202" s="38">
        <f t="shared" si="19"/>
        <v>2555.5040203131607</v>
      </c>
      <c r="I202" s="42">
        <f t="shared" si="15"/>
        <v>8214.2050000000017</v>
      </c>
    </row>
    <row r="203" spans="1:9" x14ac:dyDescent="0.55000000000000004">
      <c r="A203" s="33">
        <f>'Historical backend'!G207</f>
        <v>44910</v>
      </c>
      <c r="B203" s="29">
        <f>'Historical backend'!H207</f>
        <v>40</v>
      </c>
      <c r="C203" s="29">
        <f>_xlfn.XLOOKUP(A203,'Historical backend'!B:B,'Historical backend'!C:C,_xlfn.XLOOKUP(A204,'Historical backend'!B:B,'Historical backend'!C:C))</f>
        <v>1878</v>
      </c>
      <c r="D203" s="29">
        <f>_xlfn.XLOOKUP(A203,'Historical backend'!L:L,'Historical backend'!M:M)</f>
        <v>23500</v>
      </c>
      <c r="E203" s="29">
        <f t="shared" si="16"/>
        <v>1918</v>
      </c>
      <c r="F203" s="42">
        <f t="shared" si="17"/>
        <v>45073</v>
      </c>
      <c r="G203" s="42">
        <f t="shared" si="18"/>
        <v>44368</v>
      </c>
      <c r="H203" s="38">
        <f t="shared" si="19"/>
        <v>2580.0851063829787</v>
      </c>
      <c r="I203" s="42">
        <f t="shared" si="15"/>
        <v>8123.9465000000055</v>
      </c>
    </row>
    <row r="204" spans="1:9" x14ac:dyDescent="0.55000000000000004">
      <c r="A204" s="33">
        <f>'Historical backend'!G208</f>
        <v>44903</v>
      </c>
      <c r="B204" s="29">
        <f>'Historical backend'!H208</f>
        <v>0</v>
      </c>
      <c r="C204" s="29">
        <f>_xlfn.XLOOKUP(A204,'Historical backend'!B:B,'Historical backend'!C:C,_xlfn.XLOOKUP(A205,'Historical backend'!B:B,'Historical backend'!C:C))</f>
        <v>1876</v>
      </c>
      <c r="D204" s="29">
        <f>_xlfn.XLOOKUP(A204,'Historical backend'!L:L,'Historical backend'!M:M)</f>
        <v>23780</v>
      </c>
      <c r="E204" s="29">
        <f t="shared" si="16"/>
        <v>1876</v>
      </c>
      <c r="F204" s="42">
        <f t="shared" si="17"/>
        <v>44611.28</v>
      </c>
      <c r="G204" s="42">
        <f t="shared" si="18"/>
        <v>43897.88</v>
      </c>
      <c r="H204" s="38">
        <f t="shared" si="19"/>
        <v>2569.4751892346512</v>
      </c>
      <c r="I204" s="42">
        <f t="shared" si="15"/>
        <v>7933.7440000000061</v>
      </c>
    </row>
    <row r="205" spans="1:9" x14ac:dyDescent="0.55000000000000004">
      <c r="A205" s="33">
        <f>'Historical backend'!G209</f>
        <v>44896</v>
      </c>
      <c r="B205" s="29">
        <f>'Historical backend'!H209</f>
        <v>-30</v>
      </c>
      <c r="C205" s="29">
        <f>_xlfn.XLOOKUP(A205,'Historical backend'!B:B,'Historical backend'!C:C,_xlfn.XLOOKUP(A206,'Historical backend'!B:B,'Historical backend'!C:C))</f>
        <v>1855</v>
      </c>
      <c r="D205" s="29">
        <f>_xlfn.XLOOKUP(A205,'Historical backend'!L:L,'Historical backend'!M:M)</f>
        <v>24500</v>
      </c>
      <c r="E205" s="29">
        <f t="shared" si="16"/>
        <v>1825</v>
      </c>
      <c r="F205" s="42">
        <f t="shared" si="17"/>
        <v>44712.5</v>
      </c>
      <c r="G205" s="42">
        <f t="shared" si="18"/>
        <v>43977.5</v>
      </c>
      <c r="H205" s="38">
        <f t="shared" si="19"/>
        <v>2490.7142857142858</v>
      </c>
      <c r="I205" s="42" t="e">
        <f t="shared" si="15"/>
        <v>#N/A</v>
      </c>
    </row>
    <row r="206" spans="1:9" x14ac:dyDescent="0.55000000000000004">
      <c r="A206" s="33">
        <f>'Historical backend'!G210</f>
        <v>44889</v>
      </c>
      <c r="B206" s="29">
        <f>'Historical backend'!H210</f>
        <v>-30</v>
      </c>
      <c r="C206" s="29">
        <f>_xlfn.XLOOKUP(A206,'Historical backend'!B:B,'Historical backend'!C:C,_xlfn.XLOOKUP(A207,'Historical backend'!B:B,'Historical backend'!C:C))</f>
        <v>1842</v>
      </c>
      <c r="D206" s="29">
        <f>_xlfn.XLOOKUP(A206,'Historical backend'!L:L,'Historical backend'!M:M)</f>
        <v>24833</v>
      </c>
      <c r="E206" s="29">
        <f t="shared" si="16"/>
        <v>1812</v>
      </c>
      <c r="F206" s="42">
        <f t="shared" si="17"/>
        <v>44997.396000000001</v>
      </c>
      <c r="G206" s="42">
        <f t="shared" si="18"/>
        <v>44252.406000000003</v>
      </c>
      <c r="H206" s="38">
        <f t="shared" si="19"/>
        <v>2446.2446744251597</v>
      </c>
      <c r="I206" s="42" t="e">
        <f t="shared" si="15"/>
        <v>#N/A</v>
      </c>
    </row>
    <row r="207" spans="1:9" x14ac:dyDescent="0.55000000000000004">
      <c r="A207" s="33">
        <f>'Historical backend'!G211</f>
        <v>44882</v>
      </c>
      <c r="B207" s="29">
        <f>'Historical backend'!H211</f>
        <v>-30</v>
      </c>
      <c r="C207" s="29">
        <f>_xlfn.XLOOKUP(A207,'Historical backend'!B:B,'Historical backend'!C:C,_xlfn.XLOOKUP(A208,'Historical backend'!B:B,'Historical backend'!C:C))</f>
        <v>1818</v>
      </c>
      <c r="D207" s="29">
        <f>_xlfn.XLOOKUP(A207,'Historical backend'!L:L,'Historical backend'!M:M)</f>
        <v>24805</v>
      </c>
      <c r="E207" s="29">
        <f t="shared" si="16"/>
        <v>1788</v>
      </c>
      <c r="F207" s="42">
        <f t="shared" si="17"/>
        <v>44351.34</v>
      </c>
      <c r="G207" s="42">
        <f t="shared" si="18"/>
        <v>43607.19</v>
      </c>
      <c r="H207" s="38">
        <f t="shared" si="19"/>
        <v>2475.0175367869379</v>
      </c>
      <c r="I207" s="42" t="e">
        <f t="shared" si="15"/>
        <v>#N/A</v>
      </c>
    </row>
    <row r="208" spans="1:9" x14ac:dyDescent="0.55000000000000004">
      <c r="A208" s="33">
        <f>'Historical backend'!G212</f>
        <v>44874</v>
      </c>
      <c r="B208" s="29">
        <f>'Historical backend'!H212</f>
        <v>-30</v>
      </c>
      <c r="C208" s="29" t="e">
        <f>_xlfn.XLOOKUP(A208,'Historical backend'!B:B,'Historical backend'!C:C,_xlfn.XLOOKUP(A209,'Historical backend'!B:B,'Historical backend'!C:C))</f>
        <v>#N/A</v>
      </c>
      <c r="D208" s="29">
        <f>_xlfn.XLOOKUP(A208,'Historical backend'!L:L,'Historical backend'!M:M)</f>
        <v>24862</v>
      </c>
      <c r="E208" s="29" t="e">
        <f t="shared" si="16"/>
        <v>#N/A</v>
      </c>
      <c r="F208" s="42" t="e">
        <f t="shared" si="17"/>
        <v>#N/A</v>
      </c>
      <c r="G208" s="42" t="e">
        <f t="shared" si="18"/>
        <v>#N/A</v>
      </c>
      <c r="H208" s="38" t="e">
        <f t="shared" si="19"/>
        <v>#N/A</v>
      </c>
      <c r="I208" s="42" t="e">
        <f t="shared" si="15"/>
        <v>#N/A</v>
      </c>
    </row>
    <row r="209" spans="1:9" x14ac:dyDescent="0.55000000000000004">
      <c r="A209" s="33">
        <f>'Historical backend'!G213</f>
        <v>44868</v>
      </c>
      <c r="B209" s="29">
        <f>'Historical backend'!H213</f>
        <v>-30</v>
      </c>
      <c r="C209" s="29" t="e">
        <f>_xlfn.XLOOKUP(A209,'Historical backend'!B:B,'Historical backend'!C:C,_xlfn.XLOOKUP(A210,'Historical backend'!B:B,'Historical backend'!C:C))</f>
        <v>#N/A</v>
      </c>
      <c r="D209" s="29">
        <f>_xlfn.XLOOKUP(A209,'Historical backend'!L:L,'Historical backend'!M:M)</f>
        <v>24860</v>
      </c>
      <c r="E209" s="29" t="e">
        <f t="shared" si="16"/>
        <v>#N/A</v>
      </c>
      <c r="F209" s="42" t="e">
        <f t="shared" si="17"/>
        <v>#N/A</v>
      </c>
      <c r="G209" s="42" t="e">
        <f t="shared" si="18"/>
        <v>#N/A</v>
      </c>
      <c r="H209" s="38" t="e">
        <f t="shared" si="19"/>
        <v>#N/A</v>
      </c>
      <c r="I209" s="42" t="e">
        <f t="shared" si="15"/>
        <v>#N/A</v>
      </c>
    </row>
    <row r="210" spans="1:9" x14ac:dyDescent="0.55000000000000004">
      <c r="A210" s="33">
        <f>'Historical backend'!G214</f>
        <v>44861</v>
      </c>
      <c r="B210" s="29">
        <f>'Historical backend'!H214</f>
        <v>-20</v>
      </c>
      <c r="C210" s="29" t="e">
        <f>_xlfn.XLOOKUP(A210,'Historical backend'!B:B,'Historical backend'!C:C,_xlfn.XLOOKUP(A211,'Historical backend'!B:B,'Historical backend'!C:C))</f>
        <v>#N/A</v>
      </c>
      <c r="D210" s="29">
        <f>_xlfn.XLOOKUP(A210,'Historical backend'!L:L,'Historical backend'!M:M)</f>
        <v>24830</v>
      </c>
      <c r="E210" s="29" t="e">
        <f t="shared" si="16"/>
        <v>#N/A</v>
      </c>
      <c r="F210" s="42" t="e">
        <f t="shared" si="17"/>
        <v>#N/A</v>
      </c>
      <c r="G210" s="42" t="e">
        <f t="shared" si="18"/>
        <v>#N/A</v>
      </c>
      <c r="H210" s="38" t="e">
        <f t="shared" si="19"/>
        <v>#N/A</v>
      </c>
      <c r="I210" s="42" t="e">
        <f t="shared" si="15"/>
        <v>#N/A</v>
      </c>
    </row>
    <row r="211" spans="1:9" x14ac:dyDescent="0.55000000000000004">
      <c r="A211" s="33">
        <f>'Historical backend'!G215</f>
        <v>44854</v>
      </c>
      <c r="B211" s="29">
        <f>'Historical backend'!H215</f>
        <v>-10</v>
      </c>
      <c r="C211" s="29" t="e">
        <f>_xlfn.XLOOKUP(A211,'Historical backend'!B:B,'Historical backend'!C:C,_xlfn.XLOOKUP(A212,'Historical backend'!B:B,'Historical backend'!C:C))</f>
        <v>#N/A</v>
      </c>
      <c r="D211" s="29">
        <f>_xlfn.XLOOKUP(A211,'Historical backend'!L:L,'Historical backend'!M:M)</f>
        <v>24530</v>
      </c>
      <c r="E211" s="29" t="e">
        <f t="shared" si="16"/>
        <v>#N/A</v>
      </c>
      <c r="F211" s="42" t="e">
        <f t="shared" si="17"/>
        <v>#N/A</v>
      </c>
      <c r="G211" s="42" t="e">
        <f t="shared" si="18"/>
        <v>#N/A</v>
      </c>
      <c r="H211" s="38" t="e">
        <f t="shared" si="19"/>
        <v>#N/A</v>
      </c>
      <c r="I211" s="42" t="e">
        <f t="shared" si="15"/>
        <v>#N/A</v>
      </c>
    </row>
    <row r="212" spans="1:9" x14ac:dyDescent="0.55000000000000004">
      <c r="A212" s="33">
        <f>'Historical backend'!G216</f>
        <v>44847</v>
      </c>
      <c r="B212" s="29">
        <f>'Historical backend'!H216</f>
        <v>-10</v>
      </c>
      <c r="C212" s="29" t="e">
        <f>_xlfn.XLOOKUP(A212,'Historical backend'!B:B,'Historical backend'!C:C,_xlfn.XLOOKUP(A213,'Historical backend'!B:B,'Historical backend'!C:C))</f>
        <v>#N/A</v>
      </c>
      <c r="D212" s="29">
        <f>_xlfn.XLOOKUP(A212,'Historical backend'!L:L,'Historical backend'!M:M)</f>
        <v>24120</v>
      </c>
      <c r="E212" s="29" t="e">
        <f t="shared" si="16"/>
        <v>#N/A</v>
      </c>
      <c r="F212" s="42" t="e">
        <f t="shared" si="17"/>
        <v>#N/A</v>
      </c>
      <c r="G212" s="42" t="e">
        <f t="shared" si="18"/>
        <v>#N/A</v>
      </c>
      <c r="H212" s="38" t="e">
        <f t="shared" si="19"/>
        <v>#N/A</v>
      </c>
      <c r="I212" s="42" t="e">
        <f t="shared" si="15"/>
        <v>#N/A</v>
      </c>
    </row>
    <row r="213" spans="1:9" x14ac:dyDescent="0.55000000000000004">
      <c r="A213" s="33">
        <f>'Historical backend'!G217</f>
        <v>44840</v>
      </c>
      <c r="B213" s="29">
        <f>'Historical backend'!H217</f>
        <v>-10</v>
      </c>
      <c r="C213" s="29" t="e">
        <f>_xlfn.XLOOKUP(A213,'Historical backend'!B:B,'Historical backend'!C:C,_xlfn.XLOOKUP(A214,'Historical backend'!B:B,'Historical backend'!C:C))</f>
        <v>#N/A</v>
      </c>
      <c r="D213" s="29">
        <f>_xlfn.XLOOKUP(A213,'Historical backend'!L:L,'Historical backend'!M:M)</f>
        <v>23870</v>
      </c>
      <c r="E213" s="29" t="e">
        <f t="shared" si="16"/>
        <v>#N/A</v>
      </c>
      <c r="F213" s="42" t="e">
        <f t="shared" si="17"/>
        <v>#N/A</v>
      </c>
      <c r="G213" s="42" t="e">
        <f t="shared" si="18"/>
        <v>#N/A</v>
      </c>
      <c r="H213" s="38" t="e">
        <f t="shared" si="19"/>
        <v>#N/A</v>
      </c>
      <c r="I213" s="42" t="e">
        <f t="shared" si="15"/>
        <v>#N/A</v>
      </c>
    </row>
    <row r="214" spans="1:9" x14ac:dyDescent="0.55000000000000004">
      <c r="A214" s="33">
        <f>'Historical backend'!G218</f>
        <v>44833</v>
      </c>
      <c r="B214" s="29">
        <f>'Historical backend'!H218</f>
        <v>-10</v>
      </c>
      <c r="C214" s="29" t="e">
        <f>_xlfn.XLOOKUP(A214,'Historical backend'!B:B,'Historical backend'!C:C,_xlfn.XLOOKUP(A215,'Historical backend'!B:B,'Historical backend'!C:C))</f>
        <v>#N/A</v>
      </c>
      <c r="D214" s="29">
        <f>_xlfn.XLOOKUP(A214,'Historical backend'!L:L,'Historical backend'!M:M)</f>
        <v>23820</v>
      </c>
      <c r="E214" s="29" t="e">
        <f t="shared" si="16"/>
        <v>#N/A</v>
      </c>
      <c r="F214" s="42" t="e">
        <f t="shared" si="17"/>
        <v>#N/A</v>
      </c>
      <c r="G214" s="42" t="e">
        <f t="shared" si="18"/>
        <v>#N/A</v>
      </c>
      <c r="H214" s="38" t="e">
        <f t="shared" si="19"/>
        <v>#N/A</v>
      </c>
      <c r="I214" s="42" t="e">
        <f t="shared" si="15"/>
        <v>#N/A</v>
      </c>
    </row>
    <row r="215" spans="1:9" x14ac:dyDescent="0.55000000000000004">
      <c r="A215" s="33">
        <f>'Historical backend'!G219</f>
        <v>44826</v>
      </c>
      <c r="B215" s="29">
        <f>'Historical backend'!H219</f>
        <v>-10</v>
      </c>
      <c r="C215" s="29" t="e">
        <f>_xlfn.XLOOKUP(A215,'Historical backend'!B:B,'Historical backend'!C:C,_xlfn.XLOOKUP(A216,'Historical backend'!B:B,'Historical backend'!C:C))</f>
        <v>#N/A</v>
      </c>
      <c r="D215" s="29">
        <f>_xlfn.XLOOKUP(A215,'Historical backend'!L:L,'Historical backend'!M:M)</f>
        <v>23700</v>
      </c>
      <c r="E215" s="29" t="e">
        <f t="shared" si="16"/>
        <v>#N/A</v>
      </c>
      <c r="F215" s="42" t="e">
        <f t="shared" si="17"/>
        <v>#N/A</v>
      </c>
      <c r="G215" s="42" t="e">
        <f t="shared" si="18"/>
        <v>#N/A</v>
      </c>
      <c r="H215" s="38" t="e">
        <f t="shared" si="19"/>
        <v>#N/A</v>
      </c>
      <c r="I215" s="42" t="e">
        <f t="shared" si="15"/>
        <v>#N/A</v>
      </c>
    </row>
    <row r="216" spans="1:9" x14ac:dyDescent="0.55000000000000004">
      <c r="A216" s="33">
        <f>'Historical backend'!G220</f>
        <v>44819</v>
      </c>
      <c r="B216" s="29">
        <f>'Historical backend'!H220</f>
        <v>-10</v>
      </c>
      <c r="C216" s="29" t="e">
        <f>_xlfn.XLOOKUP(A216,'Historical backend'!B:B,'Historical backend'!C:C,_xlfn.XLOOKUP(A217,'Historical backend'!B:B,'Historical backend'!C:C))</f>
        <v>#N/A</v>
      </c>
      <c r="D216" s="29">
        <f>_xlfn.XLOOKUP(A216,'Historical backend'!L:L,'Historical backend'!M:M)</f>
        <v>23620</v>
      </c>
      <c r="E216" s="29" t="e">
        <f t="shared" si="16"/>
        <v>#N/A</v>
      </c>
      <c r="F216" s="42" t="e">
        <f t="shared" si="17"/>
        <v>#N/A</v>
      </c>
      <c r="G216" s="42" t="e">
        <f t="shared" si="18"/>
        <v>#N/A</v>
      </c>
      <c r="H216" s="38" t="e">
        <f t="shared" si="19"/>
        <v>#N/A</v>
      </c>
      <c r="I216" s="42" t="e">
        <f t="shared" si="15"/>
        <v>#N/A</v>
      </c>
    </row>
    <row r="217" spans="1:9" x14ac:dyDescent="0.55000000000000004">
      <c r="A217" s="33">
        <f>'Historical backend'!G221</f>
        <v>44812</v>
      </c>
      <c r="B217" s="29">
        <f>'Historical backend'!H221</f>
        <v>-10</v>
      </c>
      <c r="C217" s="29" t="e">
        <f>_xlfn.XLOOKUP(A217,'Historical backend'!B:B,'Historical backend'!C:C,_xlfn.XLOOKUP(A218,'Historical backend'!B:B,'Historical backend'!C:C))</f>
        <v>#N/A</v>
      </c>
      <c r="D217" s="29">
        <f>_xlfn.XLOOKUP(A217,'Historical backend'!L:L,'Historical backend'!M:M)</f>
        <v>23542</v>
      </c>
      <c r="E217" s="29" t="e">
        <f t="shared" si="16"/>
        <v>#N/A</v>
      </c>
      <c r="F217" s="42" t="e">
        <f t="shared" si="17"/>
        <v>#N/A</v>
      </c>
      <c r="G217" s="42" t="e">
        <f t="shared" si="18"/>
        <v>#N/A</v>
      </c>
      <c r="H217" s="38" t="e">
        <f t="shared" si="19"/>
        <v>#N/A</v>
      </c>
      <c r="I217" s="42" t="e">
        <f t="shared" si="15"/>
        <v>#N/A</v>
      </c>
    </row>
    <row r="218" spans="1:9" x14ac:dyDescent="0.55000000000000004">
      <c r="A218" s="33">
        <f>'Historical backend'!G222</f>
        <v>44805</v>
      </c>
      <c r="B218" s="29">
        <f>'Historical backend'!H222</f>
        <v>50</v>
      </c>
      <c r="C218" s="29" t="e">
        <f>_xlfn.XLOOKUP(A218,'Historical backend'!B:B,'Historical backend'!C:C,_xlfn.XLOOKUP(A219,'Historical backend'!B:B,'Historical backend'!C:C))</f>
        <v>#N/A</v>
      </c>
      <c r="D218" s="29">
        <f>_xlfn.XLOOKUP(A218,'Historical backend'!L:L,'Historical backend'!M:M)</f>
        <v>23450</v>
      </c>
      <c r="E218" s="29" t="e">
        <f t="shared" si="16"/>
        <v>#N/A</v>
      </c>
      <c r="F218" s="42" t="e">
        <f t="shared" si="17"/>
        <v>#N/A</v>
      </c>
      <c r="G218" s="42" t="e">
        <f t="shared" si="18"/>
        <v>#N/A</v>
      </c>
      <c r="H218" s="38" t="e">
        <f t="shared" si="19"/>
        <v>#N/A</v>
      </c>
      <c r="I218" s="42" t="e">
        <f t="shared" si="15"/>
        <v>#N/A</v>
      </c>
    </row>
    <row r="219" spans="1:9" x14ac:dyDescent="0.55000000000000004">
      <c r="A219" s="33">
        <f>'Historical backend'!G223</f>
        <v>44798</v>
      </c>
      <c r="B219" s="29">
        <f>'Historical backend'!H223</f>
        <v>90</v>
      </c>
      <c r="C219" s="29" t="e">
        <f>_xlfn.XLOOKUP(A219,'Historical backend'!B:B,'Historical backend'!C:C,_xlfn.XLOOKUP(A220,'Historical backend'!B:B,'Historical backend'!C:C))</f>
        <v>#N/A</v>
      </c>
      <c r="D219" s="29">
        <f>_xlfn.XLOOKUP(A219,'Historical backend'!L:L,'Historical backend'!M:M)</f>
        <v>23423</v>
      </c>
      <c r="E219" s="29" t="e">
        <f t="shared" si="16"/>
        <v>#N/A</v>
      </c>
      <c r="F219" s="42" t="e">
        <f t="shared" si="17"/>
        <v>#N/A</v>
      </c>
      <c r="G219" s="42" t="e">
        <f t="shared" si="18"/>
        <v>#N/A</v>
      </c>
      <c r="H219" s="38" t="e">
        <f t="shared" si="19"/>
        <v>#N/A</v>
      </c>
      <c r="I219" s="42" t="e">
        <f t="shared" si="15"/>
        <v>#N/A</v>
      </c>
    </row>
    <row r="220" spans="1:9" x14ac:dyDescent="0.55000000000000004">
      <c r="A220" s="33">
        <f>'Historical backend'!G224</f>
        <v>44791</v>
      </c>
      <c r="B220" s="29">
        <f>'Historical backend'!H224</f>
        <v>90</v>
      </c>
      <c r="C220" s="29" t="e">
        <f>_xlfn.XLOOKUP(A220,'Historical backend'!B:B,'Historical backend'!C:C,_xlfn.XLOOKUP(A221,'Historical backend'!B:B,'Historical backend'!C:C))</f>
        <v>#N/A</v>
      </c>
      <c r="D220" s="29">
        <f>_xlfn.XLOOKUP(A220,'Historical backend'!L:L,'Historical backend'!M:M)</f>
        <v>23401</v>
      </c>
      <c r="E220" s="29" t="e">
        <f t="shared" si="16"/>
        <v>#N/A</v>
      </c>
      <c r="F220" s="42" t="e">
        <f t="shared" si="17"/>
        <v>#N/A</v>
      </c>
      <c r="G220" s="42" t="e">
        <f t="shared" si="18"/>
        <v>#N/A</v>
      </c>
      <c r="H220" s="38" t="e">
        <f t="shared" si="19"/>
        <v>#N/A</v>
      </c>
      <c r="I220" s="42" t="e">
        <f t="shared" si="15"/>
        <v>#N/A</v>
      </c>
    </row>
    <row r="221" spans="1:9" x14ac:dyDescent="0.55000000000000004">
      <c r="A221" s="33">
        <f>'Historical backend'!G225</f>
        <v>44784</v>
      </c>
      <c r="B221" s="29">
        <f>'Historical backend'!H225</f>
        <v>110</v>
      </c>
      <c r="C221" s="29" t="e">
        <f>_xlfn.XLOOKUP(A221,'Historical backend'!B:B,'Historical backend'!C:C,_xlfn.XLOOKUP(A222,'Historical backend'!B:B,'Historical backend'!C:C))</f>
        <v>#N/A</v>
      </c>
      <c r="D221" s="29">
        <f>_xlfn.XLOOKUP(A221,'Historical backend'!L:L,'Historical backend'!M:M)</f>
        <v>23390</v>
      </c>
      <c r="E221" s="29" t="e">
        <f t="shared" si="16"/>
        <v>#N/A</v>
      </c>
      <c r="F221" s="42" t="e">
        <f t="shared" si="17"/>
        <v>#N/A</v>
      </c>
      <c r="G221" s="42" t="e">
        <f t="shared" si="18"/>
        <v>#N/A</v>
      </c>
      <c r="H221" s="38" t="e">
        <f t="shared" si="19"/>
        <v>#N/A</v>
      </c>
      <c r="I221" s="42" t="e">
        <f t="shared" si="15"/>
        <v>#N/A</v>
      </c>
    </row>
    <row r="222" spans="1:9" x14ac:dyDescent="0.55000000000000004">
      <c r="A222" s="33">
        <f>'Historical backend'!G226</f>
        <v>44777</v>
      </c>
      <c r="B222" s="29">
        <f>'Historical backend'!H226</f>
        <v>100</v>
      </c>
      <c r="C222" s="29" t="e">
        <f>_xlfn.XLOOKUP(A222,'Historical backend'!B:B,'Historical backend'!C:C,_xlfn.XLOOKUP(A223,'Historical backend'!B:B,'Historical backend'!C:C))</f>
        <v>#N/A</v>
      </c>
      <c r="D222" s="29">
        <f>_xlfn.XLOOKUP(A222,'Historical backend'!L:L,'Historical backend'!M:M)</f>
        <v>23393</v>
      </c>
      <c r="E222" s="29" t="e">
        <f t="shared" si="16"/>
        <v>#N/A</v>
      </c>
      <c r="F222" s="42" t="e">
        <f t="shared" si="17"/>
        <v>#N/A</v>
      </c>
      <c r="G222" s="42" t="e">
        <f t="shared" si="18"/>
        <v>#N/A</v>
      </c>
      <c r="H222" s="38" t="e">
        <f t="shared" si="19"/>
        <v>#N/A</v>
      </c>
      <c r="I222" s="42" t="e">
        <f t="shared" si="15"/>
        <v>#N/A</v>
      </c>
    </row>
    <row r="223" spans="1:9" x14ac:dyDescent="0.55000000000000004">
      <c r="A223" s="33">
        <f>'Historical backend'!G227</f>
        <v>44770</v>
      </c>
      <c r="B223" s="29">
        <f>'Historical backend'!H227</f>
        <v>90</v>
      </c>
      <c r="C223" s="29" t="e">
        <f>_xlfn.XLOOKUP(A223,'Historical backend'!B:B,'Historical backend'!C:C,_xlfn.XLOOKUP(A224,'Historical backend'!B:B,'Historical backend'!C:C))</f>
        <v>#N/A</v>
      </c>
      <c r="D223" s="29">
        <f>_xlfn.XLOOKUP(A223,'Historical backend'!L:L,'Historical backend'!M:M)</f>
        <v>23358</v>
      </c>
      <c r="E223" s="29" t="e">
        <f t="shared" si="16"/>
        <v>#N/A</v>
      </c>
      <c r="F223" s="42" t="e">
        <f t="shared" si="17"/>
        <v>#N/A</v>
      </c>
      <c r="G223" s="42" t="e">
        <f t="shared" si="18"/>
        <v>#N/A</v>
      </c>
      <c r="H223" s="38" t="e">
        <f t="shared" si="19"/>
        <v>#N/A</v>
      </c>
      <c r="I223" s="42" t="e">
        <f t="shared" si="15"/>
        <v>#N/A</v>
      </c>
    </row>
    <row r="224" spans="1:9" x14ac:dyDescent="0.55000000000000004">
      <c r="A224" s="33">
        <f>'Historical backend'!G228</f>
        <v>44763</v>
      </c>
      <c r="B224" s="29">
        <f>'Historical backend'!H228</f>
        <v>60</v>
      </c>
      <c r="C224" s="29" t="e">
        <f>_xlfn.XLOOKUP(A224,'Historical backend'!B:B,'Historical backend'!C:C,_xlfn.XLOOKUP(A225,'Historical backend'!B:B,'Historical backend'!C:C))</f>
        <v>#N/A</v>
      </c>
      <c r="D224" s="29">
        <f>_xlfn.XLOOKUP(A224,'Historical backend'!L:L,'Historical backend'!M:M)</f>
        <v>23410</v>
      </c>
      <c r="E224" s="29" t="e">
        <f t="shared" si="16"/>
        <v>#N/A</v>
      </c>
      <c r="F224" s="42" t="e">
        <f t="shared" si="17"/>
        <v>#N/A</v>
      </c>
      <c r="G224" s="42" t="e">
        <f t="shared" si="18"/>
        <v>#N/A</v>
      </c>
      <c r="H224" s="38" t="e">
        <f t="shared" si="19"/>
        <v>#N/A</v>
      </c>
      <c r="I224" s="42" t="e">
        <f t="shared" si="15"/>
        <v>#N/A</v>
      </c>
    </row>
    <row r="225" spans="1:9" x14ac:dyDescent="0.55000000000000004">
      <c r="A225" s="33">
        <f>'Historical backend'!G229</f>
        <v>44755</v>
      </c>
      <c r="B225" s="29">
        <f>'Historical backend'!H229</f>
        <v>60</v>
      </c>
      <c r="C225" s="29" t="e">
        <f>_xlfn.XLOOKUP(A225,'Historical backend'!B:B,'Historical backend'!C:C,_xlfn.XLOOKUP(A226,'Historical backend'!B:B,'Historical backend'!C:C))</f>
        <v>#N/A</v>
      </c>
      <c r="D225" s="29">
        <f>_xlfn.XLOOKUP(A225,'Historical backend'!L:L,'Historical backend'!M:M)</f>
        <v>23388</v>
      </c>
      <c r="E225" s="29" t="e">
        <f t="shared" si="16"/>
        <v>#N/A</v>
      </c>
      <c r="F225" s="42" t="e">
        <f t="shared" si="17"/>
        <v>#N/A</v>
      </c>
      <c r="G225" s="42" t="e">
        <f t="shared" si="18"/>
        <v>#N/A</v>
      </c>
      <c r="H225" s="38" t="e">
        <f t="shared" si="19"/>
        <v>#N/A</v>
      </c>
      <c r="I225" s="42" t="e">
        <f t="shared" si="15"/>
        <v>#N/A</v>
      </c>
    </row>
    <row r="226" spans="1:9" x14ac:dyDescent="0.55000000000000004">
      <c r="A226" s="33">
        <f>'Historical backend'!G230</f>
        <v>44749</v>
      </c>
      <c r="B226" s="29">
        <f>'Historical backend'!H230</f>
        <v>10</v>
      </c>
      <c r="C226" s="29" t="e">
        <f>_xlfn.XLOOKUP(A226,'Historical backend'!B:B,'Historical backend'!C:C,_xlfn.XLOOKUP(A227,'Historical backend'!B:B,'Historical backend'!C:C))</f>
        <v>#N/A</v>
      </c>
      <c r="D226" s="29">
        <f>_xlfn.XLOOKUP(A226,'Historical backend'!L:L,'Historical backend'!M:M)</f>
        <v>23350</v>
      </c>
      <c r="E226" s="29" t="e">
        <f t="shared" si="16"/>
        <v>#N/A</v>
      </c>
      <c r="F226" s="42" t="e">
        <f t="shared" si="17"/>
        <v>#N/A</v>
      </c>
      <c r="G226" s="42" t="e">
        <f t="shared" si="18"/>
        <v>#N/A</v>
      </c>
      <c r="H226" s="38" t="e">
        <f t="shared" si="19"/>
        <v>#N/A</v>
      </c>
      <c r="I226" s="42" t="e">
        <f t="shared" si="15"/>
        <v>#N/A</v>
      </c>
    </row>
    <row r="227" spans="1:9" x14ac:dyDescent="0.55000000000000004">
      <c r="A227" s="33">
        <f>'Historical backend'!G231</f>
        <v>44742</v>
      </c>
      <c r="B227" s="29">
        <f>'Historical backend'!H231</f>
        <v>-30</v>
      </c>
      <c r="C227" s="29" t="e">
        <f>_xlfn.XLOOKUP(A227,'Historical backend'!B:B,'Historical backend'!C:C,_xlfn.XLOOKUP(A228,'Historical backend'!B:B,'Historical backend'!C:C))</f>
        <v>#N/A</v>
      </c>
      <c r="D227" s="29">
        <f>_xlfn.XLOOKUP(A227,'Historical backend'!L:L,'Historical backend'!M:M)</f>
        <v>23255</v>
      </c>
      <c r="E227" s="29" t="e">
        <f t="shared" si="16"/>
        <v>#N/A</v>
      </c>
      <c r="F227" s="42" t="e">
        <f t="shared" si="17"/>
        <v>#N/A</v>
      </c>
      <c r="G227" s="42" t="e">
        <f t="shared" si="18"/>
        <v>#N/A</v>
      </c>
      <c r="H227" s="38" t="e">
        <f t="shared" si="19"/>
        <v>#N/A</v>
      </c>
      <c r="I227" s="42" t="e">
        <f t="shared" si="15"/>
        <v>#N/A</v>
      </c>
    </row>
    <row r="228" spans="1:9" x14ac:dyDescent="0.55000000000000004">
      <c r="A228" s="33">
        <f>'Historical backend'!G232</f>
        <v>44735</v>
      </c>
      <c r="B228" s="29">
        <f>'Historical backend'!H232</f>
        <v>-60</v>
      </c>
      <c r="C228" s="29" t="e">
        <f>_xlfn.XLOOKUP(A228,'Historical backend'!B:B,'Historical backend'!C:C,_xlfn.XLOOKUP(A229,'Historical backend'!B:B,'Historical backend'!C:C))</f>
        <v>#N/A</v>
      </c>
      <c r="D228" s="29">
        <f>_xlfn.XLOOKUP(A228,'Historical backend'!L:L,'Historical backend'!M:M)</f>
        <v>23244</v>
      </c>
      <c r="E228" s="29" t="e">
        <f t="shared" si="16"/>
        <v>#N/A</v>
      </c>
      <c r="F228" s="42" t="e">
        <f t="shared" si="17"/>
        <v>#N/A</v>
      </c>
      <c r="G228" s="42" t="e">
        <f t="shared" si="18"/>
        <v>#N/A</v>
      </c>
      <c r="H228" s="38" t="e">
        <f t="shared" si="19"/>
        <v>#N/A</v>
      </c>
      <c r="I228" s="42" t="e">
        <f t="shared" si="15"/>
        <v>#N/A</v>
      </c>
    </row>
    <row r="229" spans="1:9" x14ac:dyDescent="0.55000000000000004">
      <c r="A229" s="33">
        <f>'Historical backend'!G233</f>
        <v>44728</v>
      </c>
      <c r="B229" s="29">
        <f>'Historical backend'!H233</f>
        <v>-60</v>
      </c>
      <c r="C229" s="29" t="e">
        <f>_xlfn.XLOOKUP(A229,'Historical backend'!B:B,'Historical backend'!C:C,_xlfn.XLOOKUP(A230,'Historical backend'!B:B,'Historical backend'!C:C))</f>
        <v>#N/A</v>
      </c>
      <c r="D229" s="29">
        <f>_xlfn.XLOOKUP(A229,'Historical backend'!L:L,'Historical backend'!M:M)</f>
        <v>23232</v>
      </c>
      <c r="E229" s="29" t="e">
        <f t="shared" si="16"/>
        <v>#N/A</v>
      </c>
      <c r="F229" s="42" t="e">
        <f t="shared" si="17"/>
        <v>#N/A</v>
      </c>
      <c r="G229" s="42" t="e">
        <f t="shared" si="18"/>
        <v>#N/A</v>
      </c>
      <c r="H229" s="38" t="e">
        <f t="shared" si="19"/>
        <v>#N/A</v>
      </c>
      <c r="I229" s="42" t="e">
        <f t="shared" si="15"/>
        <v>#N/A</v>
      </c>
    </row>
    <row r="230" spans="1:9" x14ac:dyDescent="0.55000000000000004">
      <c r="A230" s="33">
        <f>'Historical backend'!G234</f>
        <v>44720</v>
      </c>
      <c r="B230" s="29">
        <f>'Historical backend'!H234</f>
        <v>-100</v>
      </c>
      <c r="C230" s="29" t="e">
        <f>_xlfn.XLOOKUP(A230,'Historical backend'!B:B,'Historical backend'!C:C,_xlfn.XLOOKUP(A231,'Historical backend'!B:B,'Historical backend'!C:C))</f>
        <v>#N/A</v>
      </c>
      <c r="D230" s="29">
        <f>_xlfn.XLOOKUP(A230,'Historical backend'!L:L,'Historical backend'!M:M)</f>
        <v>23187</v>
      </c>
      <c r="E230" s="29" t="e">
        <f t="shared" si="16"/>
        <v>#N/A</v>
      </c>
      <c r="F230" s="42" t="e">
        <f t="shared" si="17"/>
        <v>#N/A</v>
      </c>
      <c r="G230" s="42" t="e">
        <f t="shared" si="18"/>
        <v>#N/A</v>
      </c>
      <c r="H230" s="38" t="e">
        <f t="shared" si="19"/>
        <v>#N/A</v>
      </c>
      <c r="I230" s="42" t="e">
        <f t="shared" si="15"/>
        <v>#N/A</v>
      </c>
    </row>
    <row r="231" spans="1:9" x14ac:dyDescent="0.55000000000000004">
      <c r="A231" s="33">
        <f>'Historical backend'!G235</f>
        <v>44714</v>
      </c>
      <c r="B231" s="29">
        <f>'Historical backend'!H235</f>
        <v>-100</v>
      </c>
      <c r="C231" s="29" t="e">
        <f>_xlfn.XLOOKUP(A231,'Historical backend'!B:B,'Historical backend'!C:C,_xlfn.XLOOKUP(A232,'Historical backend'!B:B,'Historical backend'!C:C))</f>
        <v>#N/A</v>
      </c>
      <c r="D231" s="29">
        <f>_xlfn.XLOOKUP(A231,'Historical backend'!L:L,'Historical backend'!M:M)</f>
        <v>23193</v>
      </c>
      <c r="E231" s="29" t="e">
        <f t="shared" si="16"/>
        <v>#N/A</v>
      </c>
      <c r="F231" s="42" t="e">
        <f t="shared" si="17"/>
        <v>#N/A</v>
      </c>
      <c r="G231" s="42" t="e">
        <f t="shared" si="18"/>
        <v>#N/A</v>
      </c>
      <c r="H231" s="38" t="e">
        <f t="shared" si="19"/>
        <v>#N/A</v>
      </c>
      <c r="I231" s="42" t="e">
        <f t="shared" si="15"/>
        <v>#N/A</v>
      </c>
    </row>
    <row r="232" spans="1:9" x14ac:dyDescent="0.55000000000000004">
      <c r="A232" s="33">
        <f>'Historical backend'!G236</f>
        <v>44706</v>
      </c>
      <c r="B232" s="29">
        <f>'Historical backend'!H236</f>
        <v>-90</v>
      </c>
      <c r="C232" s="29" t="e">
        <f>_xlfn.XLOOKUP(A232,'Historical backend'!B:B,'Historical backend'!C:C,_xlfn.XLOOKUP(A233,'Historical backend'!B:B,'Historical backend'!C:C))</f>
        <v>#N/A</v>
      </c>
      <c r="D232" s="29">
        <f>_xlfn.XLOOKUP(A232,'Historical backend'!L:L,'Historical backend'!M:M)</f>
        <v>23190</v>
      </c>
      <c r="E232" s="29" t="e">
        <f t="shared" si="16"/>
        <v>#N/A</v>
      </c>
      <c r="F232" s="42" t="e">
        <f t="shared" si="17"/>
        <v>#N/A</v>
      </c>
      <c r="G232" s="42" t="e">
        <f t="shared" si="18"/>
        <v>#N/A</v>
      </c>
      <c r="H232" s="38" t="e">
        <f t="shared" si="19"/>
        <v>#N/A</v>
      </c>
      <c r="I232" s="42" t="e">
        <f t="shared" si="15"/>
        <v>#N/A</v>
      </c>
    </row>
    <row r="233" spans="1:9" x14ac:dyDescent="0.55000000000000004">
      <c r="A233" s="33">
        <f>'Historical backend'!G237</f>
        <v>44700</v>
      </c>
      <c r="B233" s="29">
        <f>'Historical backend'!H237</f>
        <v>-100</v>
      </c>
      <c r="C233" s="29" t="e">
        <f>_xlfn.XLOOKUP(A233,'Historical backend'!B:B,'Historical backend'!C:C,_xlfn.XLOOKUP(A234,'Historical backend'!B:B,'Historical backend'!C:C))</f>
        <v>#N/A</v>
      </c>
      <c r="D233" s="29">
        <f>_xlfn.XLOOKUP(A233,'Historical backend'!L:L,'Historical backend'!M:M)</f>
        <v>23140</v>
      </c>
      <c r="E233" s="29" t="e">
        <f t="shared" si="16"/>
        <v>#N/A</v>
      </c>
      <c r="F233" s="42" t="e">
        <f t="shared" si="17"/>
        <v>#N/A</v>
      </c>
      <c r="G233" s="42" t="e">
        <f t="shared" si="18"/>
        <v>#N/A</v>
      </c>
      <c r="H233" s="38" t="e">
        <f t="shared" si="19"/>
        <v>#N/A</v>
      </c>
      <c r="I233" s="42" t="e">
        <f t="shared" si="15"/>
        <v>#N/A</v>
      </c>
    </row>
    <row r="234" spans="1:9" x14ac:dyDescent="0.55000000000000004">
      <c r="A234" s="33">
        <f>'Historical backend'!G238</f>
        <v>44693</v>
      </c>
      <c r="B234" s="29">
        <f>'Historical backend'!H238</f>
        <v>-120</v>
      </c>
      <c r="C234" s="29" t="e">
        <f>_xlfn.XLOOKUP(A234,'Historical backend'!B:B,'Historical backend'!C:C,_xlfn.XLOOKUP(A235,'Historical backend'!B:B,'Historical backend'!C:C))</f>
        <v>#N/A</v>
      </c>
      <c r="D234" s="29">
        <f>_xlfn.XLOOKUP(A234,'Historical backend'!L:L,'Historical backend'!M:M)</f>
        <v>23096</v>
      </c>
      <c r="E234" s="29" t="e">
        <f t="shared" si="16"/>
        <v>#N/A</v>
      </c>
      <c r="F234" s="42" t="e">
        <f t="shared" si="17"/>
        <v>#N/A</v>
      </c>
      <c r="G234" s="42" t="e">
        <f t="shared" si="18"/>
        <v>#N/A</v>
      </c>
      <c r="H234" s="38" t="e">
        <f t="shared" si="19"/>
        <v>#N/A</v>
      </c>
      <c r="I234" s="42" t="e">
        <f t="shared" si="15"/>
        <v>#N/A</v>
      </c>
    </row>
    <row r="235" spans="1:9" x14ac:dyDescent="0.55000000000000004">
      <c r="A235" s="33">
        <f>'Historical backend'!G239</f>
        <v>44686</v>
      </c>
      <c r="B235" s="29">
        <f>'Historical backend'!H239</f>
        <v>-120</v>
      </c>
      <c r="C235" s="29" t="e">
        <f>_xlfn.XLOOKUP(A235,'Historical backend'!B:B,'Historical backend'!C:C,_xlfn.XLOOKUP(A236,'Historical backend'!B:B,'Historical backend'!C:C))</f>
        <v>#N/A</v>
      </c>
      <c r="D235" s="29">
        <f>_xlfn.XLOOKUP(A235,'Historical backend'!L:L,'Historical backend'!M:M)</f>
        <v>22955</v>
      </c>
      <c r="E235" s="29" t="e">
        <f t="shared" si="16"/>
        <v>#N/A</v>
      </c>
      <c r="F235" s="42" t="e">
        <f t="shared" si="17"/>
        <v>#N/A</v>
      </c>
      <c r="G235" s="42" t="e">
        <f t="shared" si="18"/>
        <v>#N/A</v>
      </c>
      <c r="H235" s="38" t="e">
        <f t="shared" si="19"/>
        <v>#N/A</v>
      </c>
      <c r="I235" s="42" t="e">
        <f t="shared" si="15"/>
        <v>#N/A</v>
      </c>
    </row>
    <row r="236" spans="1:9" x14ac:dyDescent="0.55000000000000004">
      <c r="A236" s="33">
        <f>'Historical backend'!G240</f>
        <v>44679</v>
      </c>
      <c r="B236" s="29">
        <f>'Historical backend'!H240</f>
        <v>-110</v>
      </c>
      <c r="C236" s="29" t="e">
        <f>_xlfn.XLOOKUP(A236,'Historical backend'!B:B,'Historical backend'!C:C,_xlfn.XLOOKUP(A237,'Historical backend'!B:B,'Historical backend'!C:C))</f>
        <v>#N/A</v>
      </c>
      <c r="D236" s="29">
        <f>_xlfn.XLOOKUP(A236,'Historical backend'!L:L,'Historical backend'!M:M)</f>
        <v>22956</v>
      </c>
      <c r="E236" s="29" t="e">
        <f t="shared" si="16"/>
        <v>#N/A</v>
      </c>
      <c r="F236" s="42" t="e">
        <f t="shared" si="17"/>
        <v>#N/A</v>
      </c>
      <c r="G236" s="42" t="e">
        <f t="shared" si="18"/>
        <v>#N/A</v>
      </c>
      <c r="H236" s="38" t="e">
        <f t="shared" si="19"/>
        <v>#N/A</v>
      </c>
      <c r="I236" s="42" t="e">
        <f t="shared" si="15"/>
        <v>#N/A</v>
      </c>
    </row>
    <row r="237" spans="1:9" x14ac:dyDescent="0.55000000000000004">
      <c r="A237" s="33">
        <f>'Historical backend'!G241</f>
        <v>44671</v>
      </c>
      <c r="B237" s="29">
        <f>'Historical backend'!H241</f>
        <v>-120</v>
      </c>
      <c r="C237" s="29" t="e">
        <f>_xlfn.XLOOKUP(A237,'Historical backend'!B:B,'Historical backend'!C:C,_xlfn.XLOOKUP(A238,'Historical backend'!B:B,'Historical backend'!C:C))</f>
        <v>#N/A</v>
      </c>
      <c r="D237" s="29">
        <f>_xlfn.XLOOKUP(A237,'Historical backend'!L:L,'Historical backend'!M:M)</f>
        <v>22962</v>
      </c>
      <c r="E237" s="29" t="e">
        <f t="shared" si="16"/>
        <v>#N/A</v>
      </c>
      <c r="F237" s="42" t="e">
        <f t="shared" si="17"/>
        <v>#N/A</v>
      </c>
      <c r="G237" s="42" t="e">
        <f t="shared" si="18"/>
        <v>#N/A</v>
      </c>
      <c r="H237" s="38" t="e">
        <f t="shared" si="19"/>
        <v>#N/A</v>
      </c>
      <c r="I237" s="42" t="e">
        <f t="shared" si="15"/>
        <v>#N/A</v>
      </c>
    </row>
    <row r="238" spans="1:9" x14ac:dyDescent="0.55000000000000004">
      <c r="A238" s="33">
        <f>'Historical backend'!G242</f>
        <v>44665</v>
      </c>
      <c r="B238" s="29">
        <f>'Historical backend'!H242</f>
        <v>-130</v>
      </c>
      <c r="C238" s="29" t="e">
        <f>_xlfn.XLOOKUP(A238,'Historical backend'!B:B,'Historical backend'!C:C,_xlfn.XLOOKUP(A239,'Historical backend'!B:B,'Historical backend'!C:C))</f>
        <v>#N/A</v>
      </c>
      <c r="D238" s="29">
        <f>_xlfn.XLOOKUP(A238,'Historical backend'!L:L,'Historical backend'!M:M)</f>
        <v>22900</v>
      </c>
      <c r="E238" s="29" t="e">
        <f t="shared" si="16"/>
        <v>#N/A</v>
      </c>
      <c r="F238" s="42" t="e">
        <f t="shared" si="17"/>
        <v>#N/A</v>
      </c>
      <c r="G238" s="42" t="e">
        <f t="shared" si="18"/>
        <v>#N/A</v>
      </c>
      <c r="H238" s="38" t="e">
        <f t="shared" si="19"/>
        <v>#N/A</v>
      </c>
      <c r="I238" s="42" t="e">
        <f t="shared" si="15"/>
        <v>#N/A</v>
      </c>
    </row>
    <row r="239" spans="1:9" x14ac:dyDescent="0.55000000000000004">
      <c r="A239" s="33">
        <f>'Historical backend'!G243</f>
        <v>44658</v>
      </c>
      <c r="B239" s="29">
        <f>'Historical backend'!H243</f>
        <v>-130</v>
      </c>
      <c r="C239" s="29" t="e">
        <f>_xlfn.XLOOKUP(A239,'Historical backend'!B:B,'Historical backend'!C:C,_xlfn.XLOOKUP(A240,'Historical backend'!B:B,'Historical backend'!C:C))</f>
        <v>#N/A</v>
      </c>
      <c r="D239" s="29">
        <f>_xlfn.XLOOKUP(A239,'Historical backend'!L:L,'Historical backend'!M:M)</f>
        <v>22859</v>
      </c>
      <c r="E239" s="29" t="e">
        <f t="shared" si="16"/>
        <v>#N/A</v>
      </c>
      <c r="F239" s="42" t="e">
        <f t="shared" si="17"/>
        <v>#N/A</v>
      </c>
      <c r="G239" s="42" t="e">
        <f t="shared" si="18"/>
        <v>#N/A</v>
      </c>
      <c r="H239" s="38" t="e">
        <f t="shared" si="19"/>
        <v>#N/A</v>
      </c>
      <c r="I239" s="42" t="e">
        <f t="shared" si="15"/>
        <v>#N/A</v>
      </c>
    </row>
    <row r="240" spans="1:9" x14ac:dyDescent="0.55000000000000004">
      <c r="A240" s="33">
        <f>'Historical backend'!G244</f>
        <v>44651</v>
      </c>
      <c r="B240" s="29">
        <f>'Historical backend'!H244</f>
        <v>-130</v>
      </c>
      <c r="C240" s="29" t="e">
        <f>_xlfn.XLOOKUP(A240,'Historical backend'!B:B,'Historical backend'!C:C,_xlfn.XLOOKUP(A241,'Historical backend'!B:B,'Historical backend'!C:C))</f>
        <v>#N/A</v>
      </c>
      <c r="D240" s="29">
        <f>_xlfn.XLOOKUP(A240,'Historical backend'!L:L,'Historical backend'!M:M)</f>
        <v>22838</v>
      </c>
      <c r="E240" s="29" t="e">
        <f t="shared" si="16"/>
        <v>#N/A</v>
      </c>
      <c r="F240" s="42" t="e">
        <f t="shared" si="17"/>
        <v>#N/A</v>
      </c>
      <c r="G240" s="42" t="e">
        <f t="shared" si="18"/>
        <v>#N/A</v>
      </c>
      <c r="H240" s="38" t="e">
        <f t="shared" si="19"/>
        <v>#N/A</v>
      </c>
      <c r="I240" s="42" t="e">
        <f t="shared" si="15"/>
        <v>#N/A</v>
      </c>
    </row>
    <row r="241" spans="1:9" x14ac:dyDescent="0.55000000000000004">
      <c r="A241" s="33">
        <f>'Historical backend'!G245</f>
        <v>44644</v>
      </c>
      <c r="B241" s="29">
        <f>'Historical backend'!H245</f>
        <v>-150</v>
      </c>
      <c r="C241" s="29" t="e">
        <f>_xlfn.XLOOKUP(A241,'Historical backend'!B:B,'Historical backend'!C:C,_xlfn.XLOOKUP(A242,'Historical backend'!B:B,'Historical backend'!C:C))</f>
        <v>#N/A</v>
      </c>
      <c r="D241" s="29">
        <f>_xlfn.XLOOKUP(A241,'Historical backend'!L:L,'Historical backend'!M:M)</f>
        <v>22869</v>
      </c>
      <c r="E241" s="29" t="e">
        <f t="shared" si="16"/>
        <v>#N/A</v>
      </c>
      <c r="F241" s="42" t="e">
        <f t="shared" si="17"/>
        <v>#N/A</v>
      </c>
      <c r="G241" s="42" t="e">
        <f t="shared" si="18"/>
        <v>#N/A</v>
      </c>
      <c r="H241" s="38" t="e">
        <f t="shared" si="19"/>
        <v>#N/A</v>
      </c>
      <c r="I241" s="42" t="e">
        <f t="shared" si="15"/>
        <v>#N/A</v>
      </c>
    </row>
    <row r="242" spans="1:9" x14ac:dyDescent="0.55000000000000004">
      <c r="A242" s="33">
        <f>'Historical backend'!G246</f>
        <v>44637</v>
      </c>
      <c r="B242" s="29">
        <f>'Historical backend'!H246</f>
        <v>-150</v>
      </c>
      <c r="C242" s="29" t="e">
        <f>_xlfn.XLOOKUP(A242,'Historical backend'!B:B,'Historical backend'!C:C,_xlfn.XLOOKUP(A243,'Historical backend'!B:B,'Historical backend'!C:C))</f>
        <v>#N/A</v>
      </c>
      <c r="D242" s="29">
        <f>_xlfn.XLOOKUP(A242,'Historical backend'!L:L,'Historical backend'!M:M)</f>
        <v>22865</v>
      </c>
      <c r="E242" s="29" t="e">
        <f t="shared" si="16"/>
        <v>#N/A</v>
      </c>
      <c r="F242" s="42" t="e">
        <f t="shared" si="17"/>
        <v>#N/A</v>
      </c>
      <c r="G242" s="42" t="e">
        <f t="shared" si="18"/>
        <v>#N/A</v>
      </c>
      <c r="H242" s="38" t="e">
        <f t="shared" si="19"/>
        <v>#N/A</v>
      </c>
      <c r="I242" s="42" t="e">
        <f t="shared" si="15"/>
        <v>#N/A</v>
      </c>
    </row>
    <row r="243" spans="1:9" x14ac:dyDescent="0.55000000000000004">
      <c r="A243" s="33">
        <f>'Historical backend'!G247</f>
        <v>44630</v>
      </c>
      <c r="B243" s="29">
        <f>'Historical backend'!H247</f>
        <v>-150</v>
      </c>
      <c r="C243" s="29" t="e">
        <f>_xlfn.XLOOKUP(A243,'Historical backend'!B:B,'Historical backend'!C:C,_xlfn.XLOOKUP(A244,'Historical backend'!B:B,'Historical backend'!C:C))</f>
        <v>#N/A</v>
      </c>
      <c r="D243" s="29">
        <f>_xlfn.XLOOKUP(A243,'Historical backend'!L:L,'Historical backend'!M:M)</f>
        <v>22835</v>
      </c>
      <c r="E243" s="29" t="e">
        <f t="shared" si="16"/>
        <v>#N/A</v>
      </c>
      <c r="F243" s="42" t="e">
        <f t="shared" si="17"/>
        <v>#N/A</v>
      </c>
      <c r="G243" s="42" t="e">
        <f t="shared" si="18"/>
        <v>#N/A</v>
      </c>
      <c r="H243" s="38" t="e">
        <f t="shared" si="19"/>
        <v>#N/A</v>
      </c>
      <c r="I243" s="42" t="e">
        <f t="shared" si="15"/>
        <v>#N/A</v>
      </c>
    </row>
    <row r="244" spans="1:9" x14ac:dyDescent="0.55000000000000004">
      <c r="A244" s="33">
        <f>'Historical backend'!G248</f>
        <v>44623</v>
      </c>
      <c r="B244" s="29">
        <f>'Historical backend'!H248</f>
        <v>-200</v>
      </c>
      <c r="C244" s="29" t="e">
        <f>_xlfn.XLOOKUP(A244,'Historical backend'!B:B,'Historical backend'!C:C,_xlfn.XLOOKUP(A245,'Historical backend'!B:B,'Historical backend'!C:C))</f>
        <v>#N/A</v>
      </c>
      <c r="D244" s="29">
        <f>_xlfn.XLOOKUP(A244,'Historical backend'!L:L,'Historical backend'!M:M)</f>
        <v>22835</v>
      </c>
      <c r="E244" s="29" t="e">
        <f t="shared" si="16"/>
        <v>#N/A</v>
      </c>
      <c r="F244" s="42" t="e">
        <f t="shared" si="17"/>
        <v>#N/A</v>
      </c>
      <c r="G244" s="42" t="e">
        <f t="shared" si="18"/>
        <v>#N/A</v>
      </c>
      <c r="H244" s="38" t="e">
        <f t="shared" si="19"/>
        <v>#N/A</v>
      </c>
      <c r="I244" s="42" t="e">
        <f t="shared" si="15"/>
        <v>#N/A</v>
      </c>
    </row>
    <row r="245" spans="1:9" x14ac:dyDescent="0.55000000000000004">
      <c r="A245" s="33">
        <f>'Historical backend'!G249</f>
        <v>44616</v>
      </c>
      <c r="B245" s="29">
        <f>'Historical backend'!H249</f>
        <v>-200</v>
      </c>
      <c r="C245" s="29" t="e">
        <f>_xlfn.XLOOKUP(A245,'Historical backend'!B:B,'Historical backend'!C:C,_xlfn.XLOOKUP(A246,'Historical backend'!B:B,'Historical backend'!C:C))</f>
        <v>#N/A</v>
      </c>
      <c r="D245" s="29">
        <f>_xlfn.XLOOKUP(A245,'Historical backend'!L:L,'Historical backend'!M:M)</f>
        <v>22840</v>
      </c>
      <c r="E245" s="29" t="e">
        <f t="shared" si="16"/>
        <v>#N/A</v>
      </c>
      <c r="F245" s="42" t="e">
        <f t="shared" si="17"/>
        <v>#N/A</v>
      </c>
      <c r="G245" s="42" t="e">
        <f t="shared" si="18"/>
        <v>#N/A</v>
      </c>
      <c r="H245" s="38" t="e">
        <f t="shared" si="19"/>
        <v>#N/A</v>
      </c>
      <c r="I245" s="42" t="e">
        <f t="shared" si="15"/>
        <v>#N/A</v>
      </c>
    </row>
    <row r="246" spans="1:9" x14ac:dyDescent="0.55000000000000004">
      <c r="A246" s="33">
        <f>'Historical backend'!G250</f>
        <v>44609</v>
      </c>
      <c r="B246" s="29">
        <f>'Historical backend'!H250</f>
        <v>-210</v>
      </c>
      <c r="C246" s="29" t="e">
        <f>_xlfn.XLOOKUP(A246,'Historical backend'!B:B,'Historical backend'!C:C,_xlfn.XLOOKUP(A247,'Historical backend'!B:B,'Historical backend'!C:C))</f>
        <v>#N/A</v>
      </c>
      <c r="D246" s="29">
        <f>_xlfn.XLOOKUP(A246,'Historical backend'!L:L,'Historical backend'!M:M)</f>
        <v>22785</v>
      </c>
      <c r="E246" s="29" t="e">
        <f t="shared" si="16"/>
        <v>#N/A</v>
      </c>
      <c r="F246" s="42" t="e">
        <f t="shared" si="17"/>
        <v>#N/A</v>
      </c>
      <c r="G246" s="42" t="e">
        <f t="shared" si="18"/>
        <v>#N/A</v>
      </c>
      <c r="H246" s="38" t="e">
        <f t="shared" si="19"/>
        <v>#N/A</v>
      </c>
      <c r="I246" s="42" t="e">
        <f t="shared" si="15"/>
        <v>#N/A</v>
      </c>
    </row>
    <row r="247" spans="1:9" x14ac:dyDescent="0.55000000000000004">
      <c r="A247" s="33">
        <f>'Historical backend'!G251</f>
        <v>44602</v>
      </c>
      <c r="B247" s="29">
        <f>'Historical backend'!H251</f>
        <v>-200</v>
      </c>
      <c r="C247" s="29" t="e">
        <f>_xlfn.XLOOKUP(A247,'Historical backend'!B:B,'Historical backend'!C:C,_xlfn.XLOOKUP(A248,'Historical backend'!B:B,'Historical backend'!C:C))</f>
        <v>#N/A</v>
      </c>
      <c r="D247" s="29">
        <f>_xlfn.XLOOKUP(A247,'Historical backend'!L:L,'Historical backend'!M:M)</f>
        <v>22680</v>
      </c>
      <c r="E247" s="29" t="e">
        <f t="shared" si="16"/>
        <v>#N/A</v>
      </c>
      <c r="F247" s="42" t="e">
        <f t="shared" si="17"/>
        <v>#N/A</v>
      </c>
      <c r="G247" s="42" t="e">
        <f t="shared" si="18"/>
        <v>#N/A</v>
      </c>
      <c r="H247" s="38" t="e">
        <f t="shared" si="19"/>
        <v>#N/A</v>
      </c>
      <c r="I247" s="42" t="e">
        <f t="shared" si="15"/>
        <v>#N/A</v>
      </c>
    </row>
    <row r="248" spans="1:9" x14ac:dyDescent="0.55000000000000004">
      <c r="A248" s="33">
        <f>'Historical backend'!G252</f>
        <v>44595</v>
      </c>
      <c r="B248" s="29">
        <f>'Historical backend'!H252</f>
        <v>-200</v>
      </c>
      <c r="C248" s="29" t="e">
        <f>_xlfn.XLOOKUP(A248,'Historical backend'!B:B,'Historical backend'!C:C,_xlfn.XLOOKUP(A249,'Historical backend'!B:B,'Historical backend'!C:C))</f>
        <v>#N/A</v>
      </c>
      <c r="D248" s="29">
        <f>_xlfn.XLOOKUP(A248,'Historical backend'!L:L,'Historical backend'!M:M)</f>
        <v>22645</v>
      </c>
      <c r="E248" s="29" t="e">
        <f t="shared" si="16"/>
        <v>#N/A</v>
      </c>
      <c r="F248" s="42" t="e">
        <f t="shared" si="17"/>
        <v>#N/A</v>
      </c>
      <c r="G248" s="42" t="e">
        <f t="shared" si="18"/>
        <v>#N/A</v>
      </c>
      <c r="H248" s="38" t="e">
        <f t="shared" si="19"/>
        <v>#N/A</v>
      </c>
      <c r="I248" s="42" t="e">
        <f t="shared" si="15"/>
        <v>#N/A</v>
      </c>
    </row>
    <row r="249" spans="1:9" x14ac:dyDescent="0.55000000000000004">
      <c r="A249" s="33">
        <f>'Historical backend'!G253</f>
        <v>44588</v>
      </c>
      <c r="B249" s="29">
        <f>'Historical backend'!H253</f>
        <v>-220</v>
      </c>
      <c r="C249" s="29" t="e">
        <f>_xlfn.XLOOKUP(A249,'Historical backend'!B:B,'Historical backend'!C:C,_xlfn.XLOOKUP(A250,'Historical backend'!B:B,'Historical backend'!C:C))</f>
        <v>#N/A</v>
      </c>
      <c r="D249" s="29">
        <f>_xlfn.XLOOKUP(A249,'Historical backend'!L:L,'Historical backend'!M:M)</f>
        <v>22630</v>
      </c>
      <c r="E249" s="29" t="e">
        <f t="shared" si="16"/>
        <v>#N/A</v>
      </c>
      <c r="F249" s="42" t="e">
        <f t="shared" si="17"/>
        <v>#N/A</v>
      </c>
      <c r="G249" s="42" t="e">
        <f t="shared" si="18"/>
        <v>#N/A</v>
      </c>
      <c r="H249" s="38" t="e">
        <f t="shared" si="19"/>
        <v>#N/A</v>
      </c>
      <c r="I249" s="42" t="e">
        <f t="shared" si="15"/>
        <v>#N/A</v>
      </c>
    </row>
    <row r="250" spans="1:9" x14ac:dyDescent="0.55000000000000004">
      <c r="A250" s="33">
        <f>'Historical backend'!G254</f>
        <v>44581</v>
      </c>
      <c r="B250" s="29">
        <f>'Historical backend'!H254</f>
        <v>-250</v>
      </c>
      <c r="C250" s="29" t="e">
        <f>_xlfn.XLOOKUP(A250,'Historical backend'!B:B,'Historical backend'!C:C,_xlfn.XLOOKUP(A251,'Historical backend'!B:B,'Historical backend'!C:C))</f>
        <v>#N/A</v>
      </c>
      <c r="D250" s="29">
        <f>_xlfn.XLOOKUP(A250,'Historical backend'!L:L,'Historical backend'!M:M)</f>
        <v>22645</v>
      </c>
      <c r="E250" s="29" t="e">
        <f t="shared" si="16"/>
        <v>#N/A</v>
      </c>
      <c r="F250" s="42" t="e">
        <f t="shared" si="17"/>
        <v>#N/A</v>
      </c>
      <c r="G250" s="42" t="e">
        <f t="shared" si="18"/>
        <v>#N/A</v>
      </c>
      <c r="H250" s="38" t="e">
        <f t="shared" si="19"/>
        <v>#N/A</v>
      </c>
      <c r="I250" s="42" t="e">
        <f t="shared" si="15"/>
        <v>#N/A</v>
      </c>
    </row>
    <row r="251" spans="1:9" x14ac:dyDescent="0.55000000000000004">
      <c r="A251" s="33">
        <f>'Historical backend'!G255</f>
        <v>44574</v>
      </c>
      <c r="B251" s="29">
        <f>'Historical backend'!H255</f>
        <v>-280</v>
      </c>
      <c r="C251" s="29" t="e">
        <f>_xlfn.XLOOKUP(A251,'Historical backend'!B:B,'Historical backend'!C:C,_xlfn.XLOOKUP(A252,'Historical backend'!B:B,'Historical backend'!C:C))</f>
        <v>#N/A</v>
      </c>
      <c r="D251" s="29">
        <f>_xlfn.XLOOKUP(A251,'Historical backend'!L:L,'Historical backend'!M:M)</f>
        <v>22710</v>
      </c>
      <c r="E251" s="29" t="e">
        <f t="shared" si="16"/>
        <v>#N/A</v>
      </c>
      <c r="F251" s="42" t="e">
        <f t="shared" si="17"/>
        <v>#N/A</v>
      </c>
      <c r="G251" s="42" t="e">
        <f t="shared" si="18"/>
        <v>#N/A</v>
      </c>
      <c r="H251" s="38" t="e">
        <f t="shared" si="19"/>
        <v>#N/A</v>
      </c>
      <c r="I251" s="42" t="e">
        <f t="shared" si="15"/>
        <v>#N/A</v>
      </c>
    </row>
    <row r="252" spans="1:9" x14ac:dyDescent="0.55000000000000004">
      <c r="A252" s="33">
        <f>'Historical backend'!G256</f>
        <v>44567</v>
      </c>
      <c r="B252" s="29">
        <f>'Historical backend'!H256</f>
        <v>-280</v>
      </c>
      <c r="C252" s="29" t="e">
        <f>_xlfn.XLOOKUP(A252,'Historical backend'!B:B,'Historical backend'!C:C,_xlfn.XLOOKUP(A253,'Historical backend'!B:B,'Historical backend'!C:C))</f>
        <v>#N/A</v>
      </c>
      <c r="D252" s="29">
        <f>_xlfn.XLOOKUP(A252,'Historical backend'!L:L,'Historical backend'!M:M)</f>
        <v>22745</v>
      </c>
      <c r="E252" s="29" t="e">
        <f t="shared" si="16"/>
        <v>#N/A</v>
      </c>
      <c r="F252" s="42" t="e">
        <f t="shared" si="17"/>
        <v>#N/A</v>
      </c>
      <c r="G252" s="42" t="e">
        <f t="shared" si="18"/>
        <v>#N/A</v>
      </c>
      <c r="H252" s="38" t="e">
        <f t="shared" si="19"/>
        <v>#N/A</v>
      </c>
      <c r="I252" s="42" t="e">
        <f t="shared" si="15"/>
        <v>#N/A</v>
      </c>
    </row>
    <row r="253" spans="1:9" x14ac:dyDescent="0.55000000000000004">
      <c r="A253" s="33">
        <f>'Historical backend'!G257</f>
        <v>44560</v>
      </c>
      <c r="B253" s="29">
        <f>'Historical backend'!H257</f>
        <v>-150</v>
      </c>
      <c r="C253" s="29" t="e">
        <f>_xlfn.XLOOKUP(A253,'Historical backend'!B:B,'Historical backend'!C:C,_xlfn.XLOOKUP(A254,'Historical backend'!B:B,'Historical backend'!C:C))</f>
        <v>#N/A</v>
      </c>
      <c r="D253" s="29">
        <f>_xlfn.XLOOKUP(A253,'Historical backend'!L:L,'Historical backend'!M:M)</f>
        <v>22765</v>
      </c>
      <c r="E253" s="29" t="e">
        <f t="shared" si="16"/>
        <v>#N/A</v>
      </c>
      <c r="F253" s="42" t="e">
        <f t="shared" si="17"/>
        <v>#N/A</v>
      </c>
      <c r="G253" s="42" t="e">
        <f t="shared" si="18"/>
        <v>#N/A</v>
      </c>
      <c r="H253" s="38" t="e">
        <f t="shared" si="19"/>
        <v>#N/A</v>
      </c>
      <c r="I253" s="42" t="e">
        <f t="shared" si="15"/>
        <v>#N/A</v>
      </c>
    </row>
    <row r="254" spans="1:9" x14ac:dyDescent="0.55000000000000004">
      <c r="A254" s="33">
        <f>'Historical backend'!G258</f>
        <v>44553</v>
      </c>
      <c r="B254" s="29">
        <f>'Historical backend'!H258</f>
        <v>-150</v>
      </c>
      <c r="C254" s="29" t="e">
        <f>_xlfn.XLOOKUP(A254,'Historical backend'!B:B,'Historical backend'!C:C,_xlfn.XLOOKUP(A255,'Historical backend'!B:B,'Historical backend'!C:C))</f>
        <v>#N/A</v>
      </c>
      <c r="D254" s="29">
        <f>_xlfn.XLOOKUP(A254,'Historical backend'!L:L,'Historical backend'!M:M)</f>
        <v>22950</v>
      </c>
      <c r="E254" s="29" t="e">
        <f t="shared" si="16"/>
        <v>#N/A</v>
      </c>
      <c r="F254" s="42" t="e">
        <f t="shared" si="17"/>
        <v>#N/A</v>
      </c>
      <c r="G254" s="42" t="e">
        <f t="shared" si="18"/>
        <v>#N/A</v>
      </c>
      <c r="H254" s="38" t="e">
        <f t="shared" si="19"/>
        <v>#N/A</v>
      </c>
      <c r="I254" s="42" t="e">
        <f t="shared" si="15"/>
        <v>#N/A</v>
      </c>
    </row>
    <row r="255" spans="1:9" x14ac:dyDescent="0.55000000000000004">
      <c r="A255" s="33">
        <f>'Historical backend'!G259</f>
        <v>44546</v>
      </c>
      <c r="B255" s="29">
        <f>'Historical backend'!H259</f>
        <v>-150</v>
      </c>
      <c r="C255" s="29" t="e">
        <f>_xlfn.XLOOKUP(A255,'Historical backend'!B:B,'Historical backend'!C:C,_xlfn.XLOOKUP(A256,'Historical backend'!B:B,'Historical backend'!C:C))</f>
        <v>#N/A</v>
      </c>
      <c r="D255" s="29">
        <f>_xlfn.XLOOKUP(A255,'Historical backend'!L:L,'Historical backend'!M:M)</f>
        <v>22990</v>
      </c>
      <c r="E255" s="29" t="e">
        <f t="shared" si="16"/>
        <v>#N/A</v>
      </c>
      <c r="F255" s="42" t="e">
        <f t="shared" si="17"/>
        <v>#N/A</v>
      </c>
      <c r="G255" s="42" t="e">
        <f t="shared" si="18"/>
        <v>#N/A</v>
      </c>
      <c r="H255" s="38" t="e">
        <f t="shared" si="19"/>
        <v>#N/A</v>
      </c>
      <c r="I255" s="42" t="e">
        <f t="shared" si="15"/>
        <v>#N/A</v>
      </c>
    </row>
    <row r="256" spans="1:9" x14ac:dyDescent="0.55000000000000004">
      <c r="A256" s="33">
        <f>'Historical backend'!G260</f>
        <v>44539</v>
      </c>
      <c r="B256" s="29">
        <f>'Historical backend'!H260</f>
        <v>-100</v>
      </c>
      <c r="C256" s="29" t="e">
        <f>_xlfn.XLOOKUP(A256,'Historical backend'!B:B,'Historical backend'!C:C,_xlfn.XLOOKUP(A257,'Historical backend'!B:B,'Historical backend'!C:C))</f>
        <v>#N/A</v>
      </c>
      <c r="D256" s="29">
        <f>_xlfn.XLOOKUP(A256,'Historical backend'!L:L,'Historical backend'!M:M)</f>
        <v>22980</v>
      </c>
      <c r="E256" s="29" t="e">
        <f t="shared" si="16"/>
        <v>#N/A</v>
      </c>
      <c r="F256" s="42" t="e">
        <f t="shared" si="17"/>
        <v>#N/A</v>
      </c>
      <c r="G256" s="42" t="e">
        <f t="shared" si="18"/>
        <v>#N/A</v>
      </c>
      <c r="H256" s="38" t="e">
        <f t="shared" si="19"/>
        <v>#N/A</v>
      </c>
      <c r="I256" s="42" t="e">
        <f t="shared" si="15"/>
        <v>#N/A</v>
      </c>
    </row>
    <row r="257" spans="1:9" x14ac:dyDescent="0.55000000000000004">
      <c r="A257" s="33">
        <f>'Historical backend'!G261</f>
        <v>44532</v>
      </c>
      <c r="B257" s="29">
        <f>'Historical backend'!H261</f>
        <v>-100</v>
      </c>
      <c r="C257" s="29" t="e">
        <f>_xlfn.XLOOKUP(A257,'Historical backend'!B:B,'Historical backend'!C:C,_xlfn.XLOOKUP(A258,'Historical backend'!B:B,'Historical backend'!C:C))</f>
        <v>#N/A</v>
      </c>
      <c r="D257" s="29">
        <f>_xlfn.XLOOKUP(A257,'Historical backend'!L:L,'Historical backend'!M:M)</f>
        <v>22730</v>
      </c>
      <c r="E257" s="29" t="e">
        <f t="shared" si="16"/>
        <v>#N/A</v>
      </c>
      <c r="F257" s="42" t="e">
        <f t="shared" si="17"/>
        <v>#N/A</v>
      </c>
      <c r="G257" s="42" t="e">
        <f t="shared" si="18"/>
        <v>#N/A</v>
      </c>
      <c r="H257" s="38" t="e">
        <f t="shared" si="19"/>
        <v>#N/A</v>
      </c>
      <c r="I257" s="42" t="e">
        <f t="shared" si="15"/>
        <v>#N/A</v>
      </c>
    </row>
    <row r="258" spans="1:9" x14ac:dyDescent="0.55000000000000004">
      <c r="A258" s="33">
        <f>'Historical backend'!G262</f>
        <v>44525</v>
      </c>
      <c r="B258" s="29">
        <f>'Historical backend'!H262</f>
        <v>-100</v>
      </c>
      <c r="C258" s="29" t="e">
        <f>_xlfn.XLOOKUP(A258,'Historical backend'!B:B,'Historical backend'!C:C,_xlfn.XLOOKUP(A259,'Historical backend'!B:B,'Historical backend'!C:C))</f>
        <v>#N/A</v>
      </c>
      <c r="D258" s="29">
        <f>_xlfn.XLOOKUP(A258,'Historical backend'!L:L,'Historical backend'!M:M)</f>
        <v>22670</v>
      </c>
      <c r="E258" s="29" t="e">
        <f t="shared" si="16"/>
        <v>#N/A</v>
      </c>
      <c r="F258" s="42" t="e">
        <f t="shared" si="17"/>
        <v>#N/A</v>
      </c>
      <c r="G258" s="42" t="e">
        <f t="shared" si="18"/>
        <v>#N/A</v>
      </c>
      <c r="H258" s="38" t="e">
        <f t="shared" si="19"/>
        <v>#N/A</v>
      </c>
      <c r="I258" s="42" t="e">
        <f t="shared" ref="I258:I321" si="20">AVERAGE(G258:G261)-$R$6</f>
        <v>#N/A</v>
      </c>
    </row>
    <row r="259" spans="1:9" x14ac:dyDescent="0.55000000000000004">
      <c r="A259" s="33">
        <f>'Historical backend'!G263</f>
        <v>44518</v>
      </c>
      <c r="B259" s="29">
        <f>'Historical backend'!H263</f>
        <v>-100</v>
      </c>
      <c r="C259" s="29" t="e">
        <f>_xlfn.XLOOKUP(A259,'Historical backend'!B:B,'Historical backend'!C:C,_xlfn.XLOOKUP(A260,'Historical backend'!B:B,'Historical backend'!C:C))</f>
        <v>#N/A</v>
      </c>
      <c r="D259" s="29">
        <f>_xlfn.XLOOKUP(A259,'Historical backend'!L:L,'Historical backend'!M:M)</f>
        <v>22650</v>
      </c>
      <c r="E259" s="29" t="e">
        <f t="shared" ref="E259:E322" si="21">C259+B259</f>
        <v>#N/A</v>
      </c>
      <c r="F259" s="42" t="e">
        <f t="shared" ref="F259:F322" si="22">E259*D259/1000</f>
        <v>#N/A</v>
      </c>
      <c r="G259" s="42" t="e">
        <f t="shared" ref="G259:G322" si="23">(E259-$R$2)*D259/1000</f>
        <v>#N/A</v>
      </c>
      <c r="H259" s="38" t="e">
        <f t="shared" ref="H259:H322" si="24">($R$4-G259)/D259*1000</f>
        <v>#N/A</v>
      </c>
      <c r="I259" s="42" t="e">
        <f t="shared" si="20"/>
        <v>#N/A</v>
      </c>
    </row>
    <row r="260" spans="1:9" x14ac:dyDescent="0.55000000000000004">
      <c r="A260" s="33">
        <f>'Historical backend'!G264</f>
        <v>44510</v>
      </c>
      <c r="B260" s="29">
        <f>'Historical backend'!H264</f>
        <v>-120</v>
      </c>
      <c r="C260" s="29" t="e">
        <f>_xlfn.XLOOKUP(A260,'Historical backend'!B:B,'Historical backend'!C:C,_xlfn.XLOOKUP(A261,'Historical backend'!B:B,'Historical backend'!C:C))</f>
        <v>#N/A</v>
      </c>
      <c r="D260" s="29">
        <f>_xlfn.XLOOKUP(A260,'Historical backend'!L:L,'Historical backend'!M:M)</f>
        <v>22660</v>
      </c>
      <c r="E260" s="29" t="e">
        <f t="shared" si="21"/>
        <v>#N/A</v>
      </c>
      <c r="F260" s="42" t="e">
        <f t="shared" si="22"/>
        <v>#N/A</v>
      </c>
      <c r="G260" s="42" t="e">
        <f t="shared" si="23"/>
        <v>#N/A</v>
      </c>
      <c r="H260" s="38" t="e">
        <f t="shared" si="24"/>
        <v>#N/A</v>
      </c>
      <c r="I260" s="42" t="e">
        <f t="shared" si="20"/>
        <v>#N/A</v>
      </c>
    </row>
    <row r="261" spans="1:9" x14ac:dyDescent="0.55000000000000004">
      <c r="A261" s="33">
        <f>'Historical backend'!G265</f>
        <v>44504</v>
      </c>
      <c r="B261" s="29">
        <f>'Historical backend'!H265</f>
        <v>-150</v>
      </c>
      <c r="C261" s="29" t="e">
        <f>_xlfn.XLOOKUP(A261,'Historical backend'!B:B,'Historical backend'!C:C,_xlfn.XLOOKUP(A262,'Historical backend'!B:B,'Historical backend'!C:C))</f>
        <v>#N/A</v>
      </c>
      <c r="D261" s="29">
        <f>_xlfn.XLOOKUP(A261,'Historical backend'!L:L,'Historical backend'!M:M)</f>
        <v>22680</v>
      </c>
      <c r="E261" s="29" t="e">
        <f t="shared" si="21"/>
        <v>#N/A</v>
      </c>
      <c r="F261" s="42" t="e">
        <f t="shared" si="22"/>
        <v>#N/A</v>
      </c>
      <c r="G261" s="42" t="e">
        <f t="shared" si="23"/>
        <v>#N/A</v>
      </c>
      <c r="H261" s="38" t="e">
        <f t="shared" si="24"/>
        <v>#N/A</v>
      </c>
      <c r="I261" s="42" t="e">
        <f t="shared" si="20"/>
        <v>#N/A</v>
      </c>
    </row>
    <row r="262" spans="1:9" x14ac:dyDescent="0.55000000000000004">
      <c r="A262" s="33">
        <f>'Historical backend'!G266</f>
        <v>44497</v>
      </c>
      <c r="B262" s="29">
        <f>'Historical backend'!H266</f>
        <v>-170</v>
      </c>
      <c r="C262" s="29" t="e">
        <f>_xlfn.XLOOKUP(A262,'Historical backend'!B:B,'Historical backend'!C:C,_xlfn.XLOOKUP(A263,'Historical backend'!B:B,'Historical backend'!C:C))</f>
        <v>#N/A</v>
      </c>
      <c r="D262" s="29">
        <f>_xlfn.XLOOKUP(A262,'Historical backend'!L:L,'Historical backend'!M:M)</f>
        <v>22750</v>
      </c>
      <c r="E262" s="29" t="e">
        <f t="shared" si="21"/>
        <v>#N/A</v>
      </c>
      <c r="F262" s="42" t="e">
        <f t="shared" si="22"/>
        <v>#N/A</v>
      </c>
      <c r="G262" s="42" t="e">
        <f t="shared" si="23"/>
        <v>#N/A</v>
      </c>
      <c r="H262" s="38" t="e">
        <f t="shared" si="24"/>
        <v>#N/A</v>
      </c>
      <c r="I262" s="42" t="e">
        <f t="shared" si="20"/>
        <v>#N/A</v>
      </c>
    </row>
    <row r="263" spans="1:9" x14ac:dyDescent="0.55000000000000004">
      <c r="A263" s="33">
        <f>'Historical backend'!G267</f>
        <v>44490</v>
      </c>
      <c r="B263" s="29">
        <f>'Historical backend'!H267</f>
        <v>-150</v>
      </c>
      <c r="C263" s="29" t="e">
        <f>_xlfn.XLOOKUP(A263,'Historical backend'!B:B,'Historical backend'!C:C,_xlfn.XLOOKUP(A264,'Historical backend'!B:B,'Historical backend'!C:C))</f>
        <v>#N/A</v>
      </c>
      <c r="D263" s="29">
        <f>_xlfn.XLOOKUP(A263,'Historical backend'!L:L,'Historical backend'!M:M)</f>
        <v>22750</v>
      </c>
      <c r="E263" s="29" t="e">
        <f t="shared" si="21"/>
        <v>#N/A</v>
      </c>
      <c r="F263" s="42" t="e">
        <f t="shared" si="22"/>
        <v>#N/A</v>
      </c>
      <c r="G263" s="42" t="e">
        <f t="shared" si="23"/>
        <v>#N/A</v>
      </c>
      <c r="H263" s="38" t="e">
        <f t="shared" si="24"/>
        <v>#N/A</v>
      </c>
      <c r="I263" s="42" t="e">
        <f t="shared" si="20"/>
        <v>#N/A</v>
      </c>
    </row>
    <row r="264" spans="1:9" x14ac:dyDescent="0.55000000000000004">
      <c r="A264" s="33">
        <f>'Historical backend'!G268</f>
        <v>44483</v>
      </c>
      <c r="B264" s="29">
        <f>'Historical backend'!H268</f>
        <v>-130</v>
      </c>
      <c r="C264" s="29" t="e">
        <f>_xlfn.XLOOKUP(A264,'Historical backend'!B:B,'Historical backend'!C:C,_xlfn.XLOOKUP(A265,'Historical backend'!B:B,'Historical backend'!C:C))</f>
        <v>#N/A</v>
      </c>
      <c r="D264" s="29">
        <f>_xlfn.XLOOKUP(A264,'Historical backend'!L:L,'Historical backend'!M:M)</f>
        <v>22757</v>
      </c>
      <c r="E264" s="29" t="e">
        <f t="shared" si="21"/>
        <v>#N/A</v>
      </c>
      <c r="F264" s="42" t="e">
        <f t="shared" si="22"/>
        <v>#N/A</v>
      </c>
      <c r="G264" s="42" t="e">
        <f t="shared" si="23"/>
        <v>#N/A</v>
      </c>
      <c r="H264" s="38" t="e">
        <f t="shared" si="24"/>
        <v>#N/A</v>
      </c>
      <c r="I264" s="42" t="e">
        <f t="shared" si="20"/>
        <v>#N/A</v>
      </c>
    </row>
    <row r="265" spans="1:9" x14ac:dyDescent="0.55000000000000004">
      <c r="A265" s="33">
        <f>'Historical backend'!G269</f>
        <v>44476</v>
      </c>
      <c r="B265" s="29">
        <f>'Historical backend'!H269</f>
        <v>-130</v>
      </c>
      <c r="C265" s="29" t="e">
        <f>_xlfn.XLOOKUP(A265,'Historical backend'!B:B,'Historical backend'!C:C,_xlfn.XLOOKUP(A266,'Historical backend'!B:B,'Historical backend'!C:C))</f>
        <v>#N/A</v>
      </c>
      <c r="D265" s="29">
        <f>_xlfn.XLOOKUP(A265,'Historical backend'!L:L,'Historical backend'!M:M)</f>
        <v>22750</v>
      </c>
      <c r="E265" s="29" t="e">
        <f t="shared" si="21"/>
        <v>#N/A</v>
      </c>
      <c r="F265" s="42" t="e">
        <f t="shared" si="22"/>
        <v>#N/A</v>
      </c>
      <c r="G265" s="42" t="e">
        <f t="shared" si="23"/>
        <v>#N/A</v>
      </c>
      <c r="H265" s="38" t="e">
        <f t="shared" si="24"/>
        <v>#N/A</v>
      </c>
      <c r="I265" s="42" t="e">
        <f t="shared" si="20"/>
        <v>#N/A</v>
      </c>
    </row>
    <row r="266" spans="1:9" x14ac:dyDescent="0.55000000000000004">
      <c r="A266" s="33">
        <f>'Historical backend'!G270</f>
        <v>44469</v>
      </c>
      <c r="B266" s="29">
        <f>'Historical backend'!H270</f>
        <v>-120</v>
      </c>
      <c r="C266" s="29" t="e">
        <f>_xlfn.XLOOKUP(A266,'Historical backend'!B:B,'Historical backend'!C:C,_xlfn.XLOOKUP(A267,'Historical backend'!B:B,'Historical backend'!C:C))</f>
        <v>#N/A</v>
      </c>
      <c r="D266" s="29">
        <f>_xlfn.XLOOKUP(A266,'Historical backend'!L:L,'Historical backend'!M:M)</f>
        <v>22750</v>
      </c>
      <c r="E266" s="29" t="e">
        <f t="shared" si="21"/>
        <v>#N/A</v>
      </c>
      <c r="F266" s="42" t="e">
        <f t="shared" si="22"/>
        <v>#N/A</v>
      </c>
      <c r="G266" s="42" t="e">
        <f t="shared" si="23"/>
        <v>#N/A</v>
      </c>
      <c r="H266" s="38" t="e">
        <f t="shared" si="24"/>
        <v>#N/A</v>
      </c>
      <c r="I266" s="42" t="e">
        <f t="shared" si="20"/>
        <v>#N/A</v>
      </c>
    </row>
    <row r="267" spans="1:9" x14ac:dyDescent="0.55000000000000004">
      <c r="A267" s="33">
        <f>'Historical backend'!G271</f>
        <v>44462</v>
      </c>
      <c r="B267" s="29">
        <f>'Historical backend'!H271</f>
        <v>-120</v>
      </c>
      <c r="C267" s="29" t="e">
        <f>_xlfn.XLOOKUP(A267,'Historical backend'!B:B,'Historical backend'!C:C,_xlfn.XLOOKUP(A268,'Historical backend'!B:B,'Historical backend'!C:C))</f>
        <v>#N/A</v>
      </c>
      <c r="D267" s="29">
        <f>_xlfn.XLOOKUP(A267,'Historical backend'!L:L,'Historical backend'!M:M)</f>
        <v>22762</v>
      </c>
      <c r="E267" s="29" t="e">
        <f t="shared" si="21"/>
        <v>#N/A</v>
      </c>
      <c r="F267" s="42" t="e">
        <f t="shared" si="22"/>
        <v>#N/A</v>
      </c>
      <c r="G267" s="42" t="e">
        <f t="shared" si="23"/>
        <v>#N/A</v>
      </c>
      <c r="H267" s="38" t="e">
        <f t="shared" si="24"/>
        <v>#N/A</v>
      </c>
      <c r="I267" s="42" t="e">
        <f t="shared" si="20"/>
        <v>#N/A</v>
      </c>
    </row>
    <row r="268" spans="1:9" x14ac:dyDescent="0.55000000000000004">
      <c r="A268" s="33">
        <f>'Historical backend'!G272</f>
        <v>44455</v>
      </c>
      <c r="B268" s="29">
        <f>'Historical backend'!H272</f>
        <v>-120</v>
      </c>
      <c r="C268" s="29" t="e">
        <f>_xlfn.XLOOKUP(A268,'Historical backend'!B:B,'Historical backend'!C:C,_xlfn.XLOOKUP(A269,'Historical backend'!B:B,'Historical backend'!C:C))</f>
        <v>#N/A</v>
      </c>
      <c r="D268" s="29">
        <f>_xlfn.XLOOKUP(A268,'Historical backend'!L:L,'Historical backend'!M:M)</f>
        <v>22753</v>
      </c>
      <c r="E268" s="29" t="e">
        <f t="shared" si="21"/>
        <v>#N/A</v>
      </c>
      <c r="F268" s="42" t="e">
        <f t="shared" si="22"/>
        <v>#N/A</v>
      </c>
      <c r="G268" s="42" t="e">
        <f t="shared" si="23"/>
        <v>#N/A</v>
      </c>
      <c r="H268" s="38" t="e">
        <f t="shared" si="24"/>
        <v>#N/A</v>
      </c>
      <c r="I268" s="42" t="e">
        <f t="shared" si="20"/>
        <v>#N/A</v>
      </c>
    </row>
    <row r="269" spans="1:9" x14ac:dyDescent="0.55000000000000004">
      <c r="A269" s="33">
        <f>'Historical backend'!G273</f>
        <v>44448</v>
      </c>
      <c r="B269" s="29">
        <f>'Historical backend'!H273</f>
        <v>-100</v>
      </c>
      <c r="C269" s="29" t="e">
        <f>_xlfn.XLOOKUP(A269,'Historical backend'!B:B,'Historical backend'!C:C,_xlfn.XLOOKUP(A270,'Historical backend'!B:B,'Historical backend'!C:C))</f>
        <v>#N/A</v>
      </c>
      <c r="D269" s="29">
        <f>_xlfn.XLOOKUP(A269,'Historical backend'!L:L,'Historical backend'!M:M)</f>
        <v>22765</v>
      </c>
      <c r="E269" s="29" t="e">
        <f t="shared" si="21"/>
        <v>#N/A</v>
      </c>
      <c r="F269" s="42" t="e">
        <f t="shared" si="22"/>
        <v>#N/A</v>
      </c>
      <c r="G269" s="42" t="e">
        <f t="shared" si="23"/>
        <v>#N/A</v>
      </c>
      <c r="H269" s="38" t="e">
        <f t="shared" si="24"/>
        <v>#N/A</v>
      </c>
      <c r="I269" s="42" t="e">
        <f t="shared" si="20"/>
        <v>#N/A</v>
      </c>
    </row>
    <row r="270" spans="1:9" x14ac:dyDescent="0.55000000000000004">
      <c r="A270" s="33">
        <f>'Historical backend'!G274</f>
        <v>44441</v>
      </c>
      <c r="B270" s="29">
        <f>'Historical backend'!H274</f>
        <v>-90</v>
      </c>
      <c r="C270" s="29" t="e">
        <f>_xlfn.XLOOKUP(A270,'Historical backend'!B:B,'Historical backend'!C:C,_xlfn.XLOOKUP(A271,'Historical backend'!B:B,'Historical backend'!C:C))</f>
        <v>#N/A</v>
      </c>
      <c r="D270" s="29">
        <f>_xlfn.XLOOKUP(A270,'Historical backend'!L:L,'Historical backend'!M:M)</f>
        <v>22760</v>
      </c>
      <c r="E270" s="29" t="e">
        <f t="shared" si="21"/>
        <v>#N/A</v>
      </c>
      <c r="F270" s="42" t="e">
        <f t="shared" si="22"/>
        <v>#N/A</v>
      </c>
      <c r="G270" s="42" t="e">
        <f t="shared" si="23"/>
        <v>#N/A</v>
      </c>
      <c r="H270" s="38" t="e">
        <f t="shared" si="24"/>
        <v>#N/A</v>
      </c>
      <c r="I270" s="42" t="e">
        <f t="shared" si="20"/>
        <v>#N/A</v>
      </c>
    </row>
    <row r="271" spans="1:9" x14ac:dyDescent="0.55000000000000004">
      <c r="A271" s="33">
        <f>'Historical backend'!G275</f>
        <v>44434</v>
      </c>
      <c r="B271" s="29">
        <f>'Historical backend'!H275</f>
        <v>-90</v>
      </c>
      <c r="C271" s="29" t="e">
        <f>_xlfn.XLOOKUP(A271,'Historical backend'!B:B,'Historical backend'!C:C,_xlfn.XLOOKUP(A272,'Historical backend'!B:B,'Historical backend'!C:C))</f>
        <v>#N/A</v>
      </c>
      <c r="D271" s="29">
        <f>_xlfn.XLOOKUP(A271,'Historical backend'!L:L,'Historical backend'!M:M)</f>
        <v>22785</v>
      </c>
      <c r="E271" s="29" t="e">
        <f t="shared" si="21"/>
        <v>#N/A</v>
      </c>
      <c r="F271" s="42" t="e">
        <f t="shared" si="22"/>
        <v>#N/A</v>
      </c>
      <c r="G271" s="42" t="e">
        <f t="shared" si="23"/>
        <v>#N/A</v>
      </c>
      <c r="H271" s="38" t="e">
        <f t="shared" si="24"/>
        <v>#N/A</v>
      </c>
      <c r="I271" s="42" t="e">
        <f t="shared" si="20"/>
        <v>#N/A</v>
      </c>
    </row>
    <row r="272" spans="1:9" x14ac:dyDescent="0.55000000000000004">
      <c r="A272" s="33">
        <f>'Historical backend'!G276</f>
        <v>44427</v>
      </c>
      <c r="B272" s="29">
        <f>'Historical backend'!H276</f>
        <v>-20</v>
      </c>
      <c r="C272" s="29" t="e">
        <f>_xlfn.XLOOKUP(A272,'Historical backend'!B:B,'Historical backend'!C:C,_xlfn.XLOOKUP(A273,'Historical backend'!B:B,'Historical backend'!C:C))</f>
        <v>#N/A</v>
      </c>
      <c r="D272" s="29">
        <f>_xlfn.XLOOKUP(A272,'Historical backend'!L:L,'Historical backend'!M:M)</f>
        <v>22812</v>
      </c>
      <c r="E272" s="29" t="e">
        <f t="shared" si="21"/>
        <v>#N/A</v>
      </c>
      <c r="F272" s="42" t="e">
        <f t="shared" si="22"/>
        <v>#N/A</v>
      </c>
      <c r="G272" s="42" t="e">
        <f t="shared" si="23"/>
        <v>#N/A</v>
      </c>
      <c r="H272" s="38" t="e">
        <f t="shared" si="24"/>
        <v>#N/A</v>
      </c>
      <c r="I272" s="42" t="e">
        <f t="shared" si="20"/>
        <v>#N/A</v>
      </c>
    </row>
    <row r="273" spans="1:9" x14ac:dyDescent="0.55000000000000004">
      <c r="A273" s="33">
        <f>'Historical backend'!G277</f>
        <v>44420</v>
      </c>
      <c r="B273" s="29">
        <f>'Historical backend'!H277</f>
        <v>-20</v>
      </c>
      <c r="C273" s="29" t="e">
        <f>_xlfn.XLOOKUP(A273,'Historical backend'!B:B,'Historical backend'!C:C,_xlfn.XLOOKUP(A274,'Historical backend'!B:B,'Historical backend'!C:C))</f>
        <v>#N/A</v>
      </c>
      <c r="D273" s="29">
        <f>_xlfn.XLOOKUP(A273,'Historical backend'!L:L,'Historical backend'!M:M)</f>
        <v>22805</v>
      </c>
      <c r="E273" s="29" t="e">
        <f t="shared" si="21"/>
        <v>#N/A</v>
      </c>
      <c r="F273" s="42" t="e">
        <f t="shared" si="22"/>
        <v>#N/A</v>
      </c>
      <c r="G273" s="42" t="e">
        <f t="shared" si="23"/>
        <v>#N/A</v>
      </c>
      <c r="H273" s="38" t="e">
        <f t="shared" si="24"/>
        <v>#N/A</v>
      </c>
      <c r="I273" s="42" t="e">
        <f t="shared" si="20"/>
        <v>#N/A</v>
      </c>
    </row>
    <row r="274" spans="1:9" x14ac:dyDescent="0.55000000000000004">
      <c r="A274" s="33">
        <f>'Historical backend'!G278</f>
        <v>44412</v>
      </c>
      <c r="B274" s="29">
        <f>'Historical backend'!H278</f>
        <v>20</v>
      </c>
      <c r="C274" s="29" t="e">
        <f>_xlfn.XLOOKUP(A274,'Historical backend'!B:B,'Historical backend'!C:C,_xlfn.XLOOKUP(A275,'Historical backend'!B:B,'Historical backend'!C:C))</f>
        <v>#N/A</v>
      </c>
      <c r="D274" s="29">
        <f>_xlfn.XLOOKUP(A274,'Historical backend'!L:L,'Historical backend'!M:M)</f>
        <v>22945</v>
      </c>
      <c r="E274" s="29" t="e">
        <f t="shared" si="21"/>
        <v>#N/A</v>
      </c>
      <c r="F274" s="42" t="e">
        <f t="shared" si="22"/>
        <v>#N/A</v>
      </c>
      <c r="G274" s="42" t="e">
        <f t="shared" si="23"/>
        <v>#N/A</v>
      </c>
      <c r="H274" s="38" t="e">
        <f t="shared" si="24"/>
        <v>#N/A</v>
      </c>
      <c r="I274" s="42" t="e">
        <f t="shared" si="20"/>
        <v>#N/A</v>
      </c>
    </row>
    <row r="275" spans="1:9" x14ac:dyDescent="0.55000000000000004">
      <c r="A275" s="33">
        <f>'Historical backend'!G279</f>
        <v>44406</v>
      </c>
      <c r="B275" s="29">
        <f>'Historical backend'!H279</f>
        <v>20</v>
      </c>
      <c r="C275" s="29" t="e">
        <f>_xlfn.XLOOKUP(A275,'Historical backend'!B:B,'Historical backend'!C:C,_xlfn.XLOOKUP(A276,'Historical backend'!B:B,'Historical backend'!C:C))</f>
        <v>#N/A</v>
      </c>
      <c r="D275" s="29">
        <f>_xlfn.XLOOKUP(A275,'Historical backend'!L:L,'Historical backend'!M:M)</f>
        <v>22965</v>
      </c>
      <c r="E275" s="29" t="e">
        <f t="shared" si="21"/>
        <v>#N/A</v>
      </c>
      <c r="F275" s="42" t="e">
        <f t="shared" si="22"/>
        <v>#N/A</v>
      </c>
      <c r="G275" s="42" t="e">
        <f t="shared" si="23"/>
        <v>#N/A</v>
      </c>
      <c r="H275" s="38" t="e">
        <f t="shared" si="24"/>
        <v>#N/A</v>
      </c>
      <c r="I275" s="42" t="e">
        <f t="shared" si="20"/>
        <v>#N/A</v>
      </c>
    </row>
    <row r="276" spans="1:9" x14ac:dyDescent="0.55000000000000004">
      <c r="A276" s="33">
        <f>'Historical backend'!G280</f>
        <v>44399</v>
      </c>
      <c r="B276" s="29">
        <f>'Historical backend'!H280</f>
        <v>30</v>
      </c>
      <c r="C276" s="29" t="e">
        <f>_xlfn.XLOOKUP(A276,'Historical backend'!B:B,'Historical backend'!C:C,_xlfn.XLOOKUP(A277,'Historical backend'!B:B,'Historical backend'!C:C))</f>
        <v>#N/A</v>
      </c>
      <c r="D276" s="29">
        <f>_xlfn.XLOOKUP(A276,'Historical backend'!L:L,'Historical backend'!M:M)</f>
        <v>23010</v>
      </c>
      <c r="E276" s="29" t="e">
        <f t="shared" si="21"/>
        <v>#N/A</v>
      </c>
      <c r="F276" s="42" t="e">
        <f t="shared" si="22"/>
        <v>#N/A</v>
      </c>
      <c r="G276" s="42" t="e">
        <f t="shared" si="23"/>
        <v>#N/A</v>
      </c>
      <c r="H276" s="38" t="e">
        <f t="shared" si="24"/>
        <v>#N/A</v>
      </c>
      <c r="I276" s="42" t="e">
        <f t="shared" si="20"/>
        <v>#N/A</v>
      </c>
    </row>
    <row r="277" spans="1:9" x14ac:dyDescent="0.55000000000000004">
      <c r="A277" s="33">
        <f>'Historical backend'!G281</f>
        <v>44392</v>
      </c>
      <c r="B277" s="29">
        <f>'Historical backend'!H281</f>
        <v>40</v>
      </c>
      <c r="C277" s="29" t="e">
        <f>_xlfn.XLOOKUP(A277,'Historical backend'!B:B,'Historical backend'!C:C,_xlfn.XLOOKUP(A278,'Historical backend'!B:B,'Historical backend'!C:C))</f>
        <v>#N/A</v>
      </c>
      <c r="D277" s="29">
        <f>_xlfn.XLOOKUP(A277,'Historical backend'!L:L,'Historical backend'!M:M)</f>
        <v>23009</v>
      </c>
      <c r="E277" s="29" t="e">
        <f t="shared" si="21"/>
        <v>#N/A</v>
      </c>
      <c r="F277" s="42" t="e">
        <f t="shared" si="22"/>
        <v>#N/A</v>
      </c>
      <c r="G277" s="42" t="e">
        <f t="shared" si="23"/>
        <v>#N/A</v>
      </c>
      <c r="H277" s="38" t="e">
        <f t="shared" si="24"/>
        <v>#N/A</v>
      </c>
      <c r="I277" s="42" t="e">
        <f t="shared" si="20"/>
        <v>#N/A</v>
      </c>
    </row>
    <row r="278" spans="1:9" x14ac:dyDescent="0.55000000000000004">
      <c r="A278" s="33">
        <f>'Historical backend'!G282</f>
        <v>44385</v>
      </c>
      <c r="B278" s="29">
        <f>'Historical backend'!H282</f>
        <v>50</v>
      </c>
      <c r="C278" s="29" t="e">
        <f>_xlfn.XLOOKUP(A278,'Historical backend'!B:B,'Historical backend'!C:C,_xlfn.XLOOKUP(A279,'Historical backend'!B:B,'Historical backend'!C:C))</f>
        <v>#N/A</v>
      </c>
      <c r="D278" s="29">
        <f>_xlfn.XLOOKUP(A278,'Historical backend'!L:L,'Historical backend'!M:M)</f>
        <v>23007</v>
      </c>
      <c r="E278" s="29" t="e">
        <f t="shared" si="21"/>
        <v>#N/A</v>
      </c>
      <c r="F278" s="42" t="e">
        <f t="shared" si="22"/>
        <v>#N/A</v>
      </c>
      <c r="G278" s="42" t="e">
        <f t="shared" si="23"/>
        <v>#N/A</v>
      </c>
      <c r="H278" s="38" t="e">
        <f t="shared" si="24"/>
        <v>#N/A</v>
      </c>
      <c r="I278" s="42" t="e">
        <f t="shared" si="20"/>
        <v>#N/A</v>
      </c>
    </row>
    <row r="279" spans="1:9" x14ac:dyDescent="0.55000000000000004">
      <c r="A279" s="33">
        <f>'Historical backend'!G283</f>
        <v>44378</v>
      </c>
      <c r="B279" s="29">
        <f>'Historical backend'!H283</f>
        <v>50</v>
      </c>
      <c r="C279" s="29" t="e">
        <f>_xlfn.XLOOKUP(A279,'Historical backend'!B:B,'Historical backend'!C:C,_xlfn.XLOOKUP(A280,'Historical backend'!B:B,'Historical backend'!C:C))</f>
        <v>#N/A</v>
      </c>
      <c r="D279" s="29">
        <f>_xlfn.XLOOKUP(A279,'Historical backend'!L:L,'Historical backend'!M:M)</f>
        <v>23010</v>
      </c>
      <c r="E279" s="29" t="e">
        <f t="shared" si="21"/>
        <v>#N/A</v>
      </c>
      <c r="F279" s="42" t="e">
        <f t="shared" si="22"/>
        <v>#N/A</v>
      </c>
      <c r="G279" s="42" t="e">
        <f t="shared" si="23"/>
        <v>#N/A</v>
      </c>
      <c r="H279" s="38" t="e">
        <f t="shared" si="24"/>
        <v>#N/A</v>
      </c>
      <c r="I279" s="42" t="e">
        <f t="shared" si="20"/>
        <v>#N/A</v>
      </c>
    </row>
    <row r="280" spans="1:9" x14ac:dyDescent="0.55000000000000004">
      <c r="A280" s="33">
        <f>'Historical backend'!G284</f>
        <v>44371</v>
      </c>
      <c r="B280" s="29">
        <f>'Historical backend'!H284</f>
        <v>50</v>
      </c>
      <c r="C280" s="29" t="e">
        <f>_xlfn.XLOOKUP(A280,'Historical backend'!B:B,'Historical backend'!C:C,_xlfn.XLOOKUP(A281,'Historical backend'!B:B,'Historical backend'!C:C))</f>
        <v>#N/A</v>
      </c>
      <c r="D280" s="29">
        <f>_xlfn.XLOOKUP(A280,'Historical backend'!L:L,'Historical backend'!M:M)</f>
        <v>23003</v>
      </c>
      <c r="E280" s="29" t="e">
        <f t="shared" si="21"/>
        <v>#N/A</v>
      </c>
      <c r="F280" s="42" t="e">
        <f t="shared" si="22"/>
        <v>#N/A</v>
      </c>
      <c r="G280" s="42" t="e">
        <f t="shared" si="23"/>
        <v>#N/A</v>
      </c>
      <c r="H280" s="38" t="e">
        <f t="shared" si="24"/>
        <v>#N/A</v>
      </c>
      <c r="I280" s="42" t="e">
        <f t="shared" si="20"/>
        <v>#N/A</v>
      </c>
    </row>
    <row r="281" spans="1:9" x14ac:dyDescent="0.55000000000000004">
      <c r="A281" s="33">
        <f>'Historical backend'!G285</f>
        <v>44364</v>
      </c>
      <c r="B281" s="29">
        <f>'Historical backend'!H285</f>
        <v>75</v>
      </c>
      <c r="C281" s="29" t="e">
        <f>_xlfn.XLOOKUP(A281,'Historical backend'!B:B,'Historical backend'!C:C,_xlfn.XLOOKUP(A282,'Historical backend'!B:B,'Historical backend'!C:C))</f>
        <v>#N/A</v>
      </c>
      <c r="D281" s="29">
        <f>_xlfn.XLOOKUP(A281,'Historical backend'!L:L,'Historical backend'!M:M)</f>
        <v>22960</v>
      </c>
      <c r="E281" s="29" t="e">
        <f t="shared" si="21"/>
        <v>#N/A</v>
      </c>
      <c r="F281" s="42" t="e">
        <f t="shared" si="22"/>
        <v>#N/A</v>
      </c>
      <c r="G281" s="42" t="e">
        <f t="shared" si="23"/>
        <v>#N/A</v>
      </c>
      <c r="H281" s="38" t="e">
        <f t="shared" si="24"/>
        <v>#N/A</v>
      </c>
      <c r="I281" s="42" t="e">
        <f t="shared" si="20"/>
        <v>#N/A</v>
      </c>
    </row>
    <row r="282" spans="1:9" x14ac:dyDescent="0.55000000000000004">
      <c r="A282" s="33">
        <f>'Historical backend'!G286</f>
        <v>44357</v>
      </c>
      <c r="B282" s="29">
        <f>'Historical backend'!H286</f>
        <v>70</v>
      </c>
      <c r="C282" s="29" t="e">
        <f>_xlfn.XLOOKUP(A282,'Historical backend'!B:B,'Historical backend'!C:C,_xlfn.XLOOKUP(A283,'Historical backend'!B:B,'Historical backend'!C:C))</f>
        <v>#N/A</v>
      </c>
      <c r="D282" s="29">
        <f>_xlfn.XLOOKUP(A282,'Historical backend'!L:L,'Historical backend'!M:M)</f>
        <v>22947</v>
      </c>
      <c r="E282" s="29" t="e">
        <f t="shared" si="21"/>
        <v>#N/A</v>
      </c>
      <c r="F282" s="42" t="e">
        <f t="shared" si="22"/>
        <v>#N/A</v>
      </c>
      <c r="G282" s="42" t="e">
        <f t="shared" si="23"/>
        <v>#N/A</v>
      </c>
      <c r="H282" s="38" t="e">
        <f t="shared" si="24"/>
        <v>#N/A</v>
      </c>
      <c r="I282" s="42" t="e">
        <f t="shared" si="20"/>
        <v>#N/A</v>
      </c>
    </row>
    <row r="283" spans="1:9" x14ac:dyDescent="0.55000000000000004">
      <c r="A283" s="33">
        <f>'Historical backend'!G287</f>
        <v>44350</v>
      </c>
      <c r="B283" s="29">
        <f>'Historical backend'!H287</f>
        <v>80</v>
      </c>
      <c r="C283" s="29" t="e">
        <f>_xlfn.XLOOKUP(A283,'Historical backend'!B:B,'Historical backend'!C:C,_xlfn.XLOOKUP(A284,'Historical backend'!B:B,'Historical backend'!C:C))</f>
        <v>#N/A</v>
      </c>
      <c r="D283" s="29">
        <f>_xlfn.XLOOKUP(A283,'Historical backend'!L:L,'Historical backend'!M:M)</f>
        <v>23041</v>
      </c>
      <c r="E283" s="29" t="e">
        <f t="shared" si="21"/>
        <v>#N/A</v>
      </c>
      <c r="F283" s="42" t="e">
        <f t="shared" si="22"/>
        <v>#N/A</v>
      </c>
      <c r="G283" s="42" t="e">
        <f t="shared" si="23"/>
        <v>#N/A</v>
      </c>
      <c r="H283" s="38" t="e">
        <f t="shared" si="24"/>
        <v>#N/A</v>
      </c>
      <c r="I283" s="42" t="e">
        <f t="shared" si="20"/>
        <v>#N/A</v>
      </c>
    </row>
    <row r="284" spans="1:9" x14ac:dyDescent="0.55000000000000004">
      <c r="A284" s="33">
        <f>'Historical backend'!G288</f>
        <v>44343</v>
      </c>
      <c r="B284" s="29">
        <f>'Historical backend'!H288</f>
        <v>80</v>
      </c>
      <c r="C284" s="29" t="e">
        <f>_xlfn.XLOOKUP(A284,'Historical backend'!B:B,'Historical backend'!C:C,_xlfn.XLOOKUP(A285,'Historical backend'!B:B,'Historical backend'!C:C))</f>
        <v>#N/A</v>
      </c>
      <c r="D284" s="29">
        <f>_xlfn.XLOOKUP(A284,'Historical backend'!L:L,'Historical backend'!M:M)</f>
        <v>23045</v>
      </c>
      <c r="E284" s="29" t="e">
        <f t="shared" si="21"/>
        <v>#N/A</v>
      </c>
      <c r="F284" s="42" t="e">
        <f t="shared" si="22"/>
        <v>#N/A</v>
      </c>
      <c r="G284" s="42" t="e">
        <f t="shared" si="23"/>
        <v>#N/A</v>
      </c>
      <c r="H284" s="38" t="e">
        <f t="shared" si="24"/>
        <v>#N/A</v>
      </c>
      <c r="I284" s="42" t="e">
        <f t="shared" si="20"/>
        <v>#N/A</v>
      </c>
    </row>
    <row r="285" spans="1:9" x14ac:dyDescent="0.55000000000000004">
      <c r="A285" s="33">
        <f>'Historical backend'!G289</f>
        <v>44336</v>
      </c>
      <c r="B285" s="29">
        <f>'Historical backend'!H289</f>
        <v>100</v>
      </c>
      <c r="C285" s="29" t="e">
        <f>_xlfn.XLOOKUP(A285,'Historical backend'!B:B,'Historical backend'!C:C,_xlfn.XLOOKUP(A286,'Historical backend'!B:B,'Historical backend'!C:C))</f>
        <v>#N/A</v>
      </c>
      <c r="D285" s="29">
        <f>_xlfn.XLOOKUP(A285,'Historical backend'!L:L,'Historical backend'!M:M)</f>
        <v>23045</v>
      </c>
      <c r="E285" s="29" t="e">
        <f t="shared" si="21"/>
        <v>#N/A</v>
      </c>
      <c r="F285" s="42" t="e">
        <f t="shared" si="22"/>
        <v>#N/A</v>
      </c>
      <c r="G285" s="42" t="e">
        <f t="shared" si="23"/>
        <v>#N/A</v>
      </c>
      <c r="H285" s="38" t="e">
        <f t="shared" si="24"/>
        <v>#N/A</v>
      </c>
      <c r="I285" s="42" t="e">
        <f t="shared" si="20"/>
        <v>#N/A</v>
      </c>
    </row>
    <row r="286" spans="1:9" x14ac:dyDescent="0.55000000000000004">
      <c r="A286" s="33">
        <f>'Historical backend'!G290</f>
        <v>44328</v>
      </c>
      <c r="B286" s="29">
        <f>'Historical backend'!H290</f>
        <v>150</v>
      </c>
      <c r="C286" s="29" t="e">
        <f>_xlfn.XLOOKUP(A286,'Historical backend'!B:B,'Historical backend'!C:C,_xlfn.XLOOKUP(A287,'Historical backend'!B:B,'Historical backend'!C:C))</f>
        <v>#N/A</v>
      </c>
      <c r="D286" s="29">
        <f>_xlfn.XLOOKUP(A286,'Historical backend'!L:L,'Historical backend'!M:M)</f>
        <v>23053</v>
      </c>
      <c r="E286" s="29" t="e">
        <f t="shared" si="21"/>
        <v>#N/A</v>
      </c>
      <c r="F286" s="42" t="e">
        <f t="shared" si="22"/>
        <v>#N/A</v>
      </c>
      <c r="G286" s="42" t="e">
        <f t="shared" si="23"/>
        <v>#N/A</v>
      </c>
      <c r="H286" s="38" t="e">
        <f t="shared" si="24"/>
        <v>#N/A</v>
      </c>
      <c r="I286" s="42" t="e">
        <f t="shared" si="20"/>
        <v>#N/A</v>
      </c>
    </row>
    <row r="287" spans="1:9" x14ac:dyDescent="0.55000000000000004">
      <c r="A287" s="33">
        <f>'Historical backend'!G291</f>
        <v>44322</v>
      </c>
      <c r="B287" s="29">
        <f>'Historical backend'!H291</f>
        <v>150</v>
      </c>
      <c r="C287" s="29" t="e">
        <f>_xlfn.XLOOKUP(A287,'Historical backend'!B:B,'Historical backend'!C:C,_xlfn.XLOOKUP(A288,'Historical backend'!B:B,'Historical backend'!C:C))</f>
        <v>#N/A</v>
      </c>
      <c r="D287" s="29">
        <f>_xlfn.XLOOKUP(A287,'Historical backend'!L:L,'Historical backend'!M:M)</f>
        <v>23067</v>
      </c>
      <c r="E287" s="29" t="e">
        <f t="shared" si="21"/>
        <v>#N/A</v>
      </c>
      <c r="F287" s="42" t="e">
        <f t="shared" si="22"/>
        <v>#N/A</v>
      </c>
      <c r="G287" s="42" t="e">
        <f t="shared" si="23"/>
        <v>#N/A</v>
      </c>
      <c r="H287" s="38" t="e">
        <f t="shared" si="24"/>
        <v>#N/A</v>
      </c>
      <c r="I287" s="42" t="e">
        <f t="shared" si="20"/>
        <v>#N/A</v>
      </c>
    </row>
    <row r="288" spans="1:9" x14ac:dyDescent="0.55000000000000004">
      <c r="A288" s="33">
        <f>'Historical backend'!G292</f>
        <v>44315</v>
      </c>
      <c r="B288" s="29">
        <f>'Historical backend'!H292</f>
        <v>160</v>
      </c>
      <c r="C288" s="29" t="e">
        <f>_xlfn.XLOOKUP(A288,'Historical backend'!B:B,'Historical backend'!C:C,_xlfn.XLOOKUP(A289,'Historical backend'!B:B,'Historical backend'!C:C))</f>
        <v>#N/A</v>
      </c>
      <c r="D288" s="29">
        <f>_xlfn.XLOOKUP(A288,'Historical backend'!L:L,'Historical backend'!M:M)</f>
        <v>23054</v>
      </c>
      <c r="E288" s="29" t="e">
        <f t="shared" si="21"/>
        <v>#N/A</v>
      </c>
      <c r="F288" s="42" t="e">
        <f t="shared" si="22"/>
        <v>#N/A</v>
      </c>
      <c r="G288" s="42" t="e">
        <f t="shared" si="23"/>
        <v>#N/A</v>
      </c>
      <c r="H288" s="38" t="e">
        <f t="shared" si="24"/>
        <v>#N/A</v>
      </c>
      <c r="I288" s="42" t="e">
        <f t="shared" si="20"/>
        <v>#N/A</v>
      </c>
    </row>
    <row r="289" spans="1:9" x14ac:dyDescent="0.55000000000000004">
      <c r="A289" s="33">
        <f>'Historical backend'!G293</f>
        <v>44308</v>
      </c>
      <c r="B289" s="29">
        <f>'Historical backend'!H293</f>
        <v>160</v>
      </c>
      <c r="C289" s="29" t="e">
        <f>_xlfn.XLOOKUP(A289,'Historical backend'!B:B,'Historical backend'!C:C,_xlfn.XLOOKUP(A290,'Historical backend'!B:B,'Historical backend'!C:C))</f>
        <v>#N/A</v>
      </c>
      <c r="D289" s="29">
        <f>_xlfn.XLOOKUP(A289,'Historical backend'!L:L,'Historical backend'!M:M)</f>
        <v>23070</v>
      </c>
      <c r="E289" s="29" t="e">
        <f t="shared" si="21"/>
        <v>#N/A</v>
      </c>
      <c r="F289" s="42" t="e">
        <f t="shared" si="22"/>
        <v>#N/A</v>
      </c>
      <c r="G289" s="42" t="e">
        <f t="shared" si="23"/>
        <v>#N/A</v>
      </c>
      <c r="H289" s="38" t="e">
        <f t="shared" si="24"/>
        <v>#N/A</v>
      </c>
      <c r="I289" s="42" t="e">
        <f t="shared" si="20"/>
        <v>#N/A</v>
      </c>
    </row>
    <row r="290" spans="1:9" x14ac:dyDescent="0.55000000000000004">
      <c r="A290" s="33">
        <f>'Historical backend'!G294</f>
        <v>44301</v>
      </c>
      <c r="B290" s="29">
        <f>'Historical backend'!H294</f>
        <v>170</v>
      </c>
      <c r="C290" s="29" t="e">
        <f>_xlfn.XLOOKUP(A290,'Historical backend'!B:B,'Historical backend'!C:C,_xlfn.XLOOKUP(A291,'Historical backend'!B:B,'Historical backend'!C:C))</f>
        <v>#N/A</v>
      </c>
      <c r="D290" s="29">
        <f>_xlfn.XLOOKUP(A290,'Historical backend'!L:L,'Historical backend'!M:M)</f>
        <v>23073</v>
      </c>
      <c r="E290" s="29" t="e">
        <f t="shared" si="21"/>
        <v>#N/A</v>
      </c>
      <c r="F290" s="42" t="e">
        <f t="shared" si="22"/>
        <v>#N/A</v>
      </c>
      <c r="G290" s="42" t="e">
        <f t="shared" si="23"/>
        <v>#N/A</v>
      </c>
      <c r="H290" s="38" t="e">
        <f t="shared" si="24"/>
        <v>#N/A</v>
      </c>
      <c r="I290" s="42" t="e">
        <f t="shared" si="20"/>
        <v>#N/A</v>
      </c>
    </row>
    <row r="291" spans="1:9" x14ac:dyDescent="0.55000000000000004">
      <c r="A291" s="33">
        <f>'Historical backend'!G295</f>
        <v>44294</v>
      </c>
      <c r="B291" s="29">
        <f>'Historical backend'!H295</f>
        <v>170</v>
      </c>
      <c r="C291" s="29" t="e">
        <f>_xlfn.XLOOKUP(A291,'Historical backend'!B:B,'Historical backend'!C:C,_xlfn.XLOOKUP(A292,'Historical backend'!B:B,'Historical backend'!C:C))</f>
        <v>#N/A</v>
      </c>
      <c r="D291" s="29">
        <f>_xlfn.XLOOKUP(A291,'Historical backend'!L:L,'Historical backend'!M:M)</f>
        <v>23085</v>
      </c>
      <c r="E291" s="29" t="e">
        <f t="shared" si="21"/>
        <v>#N/A</v>
      </c>
      <c r="F291" s="42" t="e">
        <f t="shared" si="22"/>
        <v>#N/A</v>
      </c>
      <c r="G291" s="42" t="e">
        <f t="shared" si="23"/>
        <v>#N/A</v>
      </c>
      <c r="H291" s="38" t="e">
        <f t="shared" si="24"/>
        <v>#N/A</v>
      </c>
      <c r="I291" s="42" t="e">
        <f t="shared" si="20"/>
        <v>#N/A</v>
      </c>
    </row>
    <row r="292" spans="1:9" x14ac:dyDescent="0.55000000000000004">
      <c r="A292" s="33">
        <f>'Historical backend'!G296</f>
        <v>44287</v>
      </c>
      <c r="B292" s="29">
        <f>'Historical backend'!H296</f>
        <v>150</v>
      </c>
      <c r="C292" s="29" t="e">
        <f>_xlfn.XLOOKUP(A292,'Historical backend'!B:B,'Historical backend'!C:C,_xlfn.XLOOKUP(A293,'Historical backend'!B:B,'Historical backend'!C:C))</f>
        <v>#N/A</v>
      </c>
      <c r="D292" s="29">
        <f>_xlfn.XLOOKUP(A292,'Historical backend'!L:L,'Historical backend'!M:M)</f>
        <v>23065</v>
      </c>
      <c r="E292" s="29" t="e">
        <f t="shared" si="21"/>
        <v>#N/A</v>
      </c>
      <c r="F292" s="42" t="e">
        <f t="shared" si="22"/>
        <v>#N/A</v>
      </c>
      <c r="G292" s="42" t="e">
        <f t="shared" si="23"/>
        <v>#N/A</v>
      </c>
      <c r="H292" s="38" t="e">
        <f t="shared" si="24"/>
        <v>#N/A</v>
      </c>
      <c r="I292" s="42" t="e">
        <f t="shared" si="20"/>
        <v>#N/A</v>
      </c>
    </row>
    <row r="293" spans="1:9" x14ac:dyDescent="0.55000000000000004">
      <c r="A293" s="33">
        <f>'Historical backend'!G297</f>
        <v>44280</v>
      </c>
      <c r="B293" s="29">
        <f>'Historical backend'!H297</f>
        <v>130</v>
      </c>
      <c r="C293" s="29" t="e">
        <f>_xlfn.XLOOKUP(A293,'Historical backend'!B:B,'Historical backend'!C:C,_xlfn.XLOOKUP(A294,'Historical backend'!B:B,'Historical backend'!C:C))</f>
        <v>#N/A</v>
      </c>
      <c r="D293" s="29">
        <f>_xlfn.XLOOKUP(A293,'Historical backend'!L:L,'Historical backend'!M:M)</f>
        <v>23084</v>
      </c>
      <c r="E293" s="29" t="e">
        <f t="shared" si="21"/>
        <v>#N/A</v>
      </c>
      <c r="F293" s="42" t="e">
        <f t="shared" si="22"/>
        <v>#N/A</v>
      </c>
      <c r="G293" s="42" t="e">
        <f t="shared" si="23"/>
        <v>#N/A</v>
      </c>
      <c r="H293" s="38" t="e">
        <f t="shared" si="24"/>
        <v>#N/A</v>
      </c>
      <c r="I293" s="42" t="e">
        <f t="shared" si="20"/>
        <v>#N/A</v>
      </c>
    </row>
    <row r="294" spans="1:9" x14ac:dyDescent="0.55000000000000004">
      <c r="A294" s="33">
        <f>'Historical backend'!G298</f>
        <v>44273</v>
      </c>
      <c r="B294" s="29">
        <f>'Historical backend'!H298</f>
        <v>130</v>
      </c>
      <c r="C294" s="29" t="e">
        <f>_xlfn.XLOOKUP(A294,'Historical backend'!B:B,'Historical backend'!C:C,_xlfn.XLOOKUP(A295,'Historical backend'!B:B,'Historical backend'!C:C))</f>
        <v>#N/A</v>
      </c>
      <c r="D294" s="29">
        <f>_xlfn.XLOOKUP(A294,'Historical backend'!L:L,'Historical backend'!M:M)</f>
        <v>23065</v>
      </c>
      <c r="E294" s="29" t="e">
        <f t="shared" si="21"/>
        <v>#N/A</v>
      </c>
      <c r="F294" s="42" t="e">
        <f t="shared" si="22"/>
        <v>#N/A</v>
      </c>
      <c r="G294" s="42" t="e">
        <f t="shared" si="23"/>
        <v>#N/A</v>
      </c>
      <c r="H294" s="38" t="e">
        <f t="shared" si="24"/>
        <v>#N/A</v>
      </c>
      <c r="I294" s="42" t="e">
        <f t="shared" si="20"/>
        <v>#N/A</v>
      </c>
    </row>
    <row r="295" spans="1:9" x14ac:dyDescent="0.55000000000000004">
      <c r="A295" s="33">
        <f>'Historical backend'!G299</f>
        <v>44266</v>
      </c>
      <c r="B295" s="29">
        <f>'Historical backend'!H299</f>
        <v>130</v>
      </c>
      <c r="C295" s="29" t="e">
        <f>_xlfn.XLOOKUP(A295,'Historical backend'!B:B,'Historical backend'!C:C,_xlfn.XLOOKUP(A296,'Historical backend'!B:B,'Historical backend'!C:C))</f>
        <v>#N/A</v>
      </c>
      <c r="D295" s="29">
        <f>_xlfn.XLOOKUP(A295,'Historical backend'!L:L,'Historical backend'!M:M)</f>
        <v>23051</v>
      </c>
      <c r="E295" s="29" t="e">
        <f t="shared" si="21"/>
        <v>#N/A</v>
      </c>
      <c r="F295" s="42" t="e">
        <f t="shared" si="22"/>
        <v>#N/A</v>
      </c>
      <c r="G295" s="42" t="e">
        <f t="shared" si="23"/>
        <v>#N/A</v>
      </c>
      <c r="H295" s="38" t="e">
        <f t="shared" si="24"/>
        <v>#N/A</v>
      </c>
      <c r="I295" s="42" t="e">
        <f t="shared" si="20"/>
        <v>#N/A</v>
      </c>
    </row>
    <row r="296" spans="1:9" x14ac:dyDescent="0.55000000000000004">
      <c r="A296" s="33">
        <f>'Historical backend'!G300</f>
        <v>44259</v>
      </c>
      <c r="B296" s="29">
        <f>'Historical backend'!H300</f>
        <v>120</v>
      </c>
      <c r="C296" s="29" t="e">
        <f>_xlfn.XLOOKUP(A296,'Historical backend'!B:B,'Historical backend'!C:C,_xlfn.XLOOKUP(A297,'Historical backend'!B:B,'Historical backend'!C:C))</f>
        <v>#N/A</v>
      </c>
      <c r="D296" s="29">
        <f>_xlfn.XLOOKUP(A296,'Historical backend'!L:L,'Historical backend'!M:M)</f>
        <v>23019</v>
      </c>
      <c r="E296" s="29" t="e">
        <f t="shared" si="21"/>
        <v>#N/A</v>
      </c>
      <c r="F296" s="42" t="e">
        <f t="shared" si="22"/>
        <v>#N/A</v>
      </c>
      <c r="G296" s="42" t="e">
        <f t="shared" si="23"/>
        <v>#N/A</v>
      </c>
      <c r="H296" s="38" t="e">
        <f t="shared" si="24"/>
        <v>#N/A</v>
      </c>
      <c r="I296" s="42" t="e">
        <f t="shared" si="20"/>
        <v>#N/A</v>
      </c>
    </row>
    <row r="297" spans="1:9" x14ac:dyDescent="0.55000000000000004">
      <c r="A297" s="33">
        <f>'Historical backend'!G301</f>
        <v>44252</v>
      </c>
      <c r="B297" s="29">
        <f>'Historical backend'!H301</f>
        <v>130</v>
      </c>
      <c r="C297" s="29" t="e">
        <f>_xlfn.XLOOKUP(A297,'Historical backend'!B:B,'Historical backend'!C:C,_xlfn.XLOOKUP(A298,'Historical backend'!B:B,'Historical backend'!C:C))</f>
        <v>#N/A</v>
      </c>
      <c r="D297" s="29">
        <f>_xlfn.XLOOKUP(A297,'Historical backend'!L:L,'Historical backend'!M:M)</f>
        <v>23025</v>
      </c>
      <c r="E297" s="29" t="e">
        <f t="shared" si="21"/>
        <v>#N/A</v>
      </c>
      <c r="F297" s="42" t="e">
        <f t="shared" si="22"/>
        <v>#N/A</v>
      </c>
      <c r="G297" s="42" t="e">
        <f t="shared" si="23"/>
        <v>#N/A</v>
      </c>
      <c r="H297" s="38" t="e">
        <f t="shared" si="24"/>
        <v>#N/A</v>
      </c>
      <c r="I297" s="42" t="e">
        <f t="shared" si="20"/>
        <v>#N/A</v>
      </c>
    </row>
    <row r="298" spans="1:9" x14ac:dyDescent="0.55000000000000004">
      <c r="A298" s="33">
        <f>'Historical backend'!G302</f>
        <v>44245</v>
      </c>
      <c r="B298" s="29">
        <f>'Historical backend'!H302</f>
        <v>150</v>
      </c>
      <c r="C298" s="29" t="e">
        <f>_xlfn.XLOOKUP(A298,'Historical backend'!B:B,'Historical backend'!C:C,_xlfn.XLOOKUP(A299,'Historical backend'!B:B,'Historical backend'!C:C))</f>
        <v>#N/A</v>
      </c>
      <c r="D298" s="29">
        <f>_xlfn.XLOOKUP(A298,'Historical backend'!L:L,'Historical backend'!M:M)</f>
        <v>23015</v>
      </c>
      <c r="E298" s="29" t="e">
        <f t="shared" si="21"/>
        <v>#N/A</v>
      </c>
      <c r="F298" s="42" t="e">
        <f t="shared" si="22"/>
        <v>#N/A</v>
      </c>
      <c r="G298" s="42" t="e">
        <f t="shared" si="23"/>
        <v>#N/A</v>
      </c>
      <c r="H298" s="38" t="e">
        <f t="shared" si="24"/>
        <v>#N/A</v>
      </c>
      <c r="I298" s="42" t="e">
        <f t="shared" si="20"/>
        <v>#N/A</v>
      </c>
    </row>
    <row r="299" spans="1:9" x14ac:dyDescent="0.55000000000000004">
      <c r="A299" s="33">
        <f>'Historical backend'!G303</f>
        <v>44238</v>
      </c>
      <c r="B299" s="29">
        <f>'Historical backend'!H303</f>
        <v>150</v>
      </c>
      <c r="C299" s="29" t="e">
        <f>_xlfn.XLOOKUP(A299,'Historical backend'!B:B,'Historical backend'!C:C,_xlfn.XLOOKUP(A300,'Historical backend'!B:B,'Historical backend'!C:C))</f>
        <v>#N/A</v>
      </c>
      <c r="D299" s="29">
        <f>_xlfn.XLOOKUP(A299,'Historical backend'!L:L,'Historical backend'!M:M)</f>
        <v>23010</v>
      </c>
      <c r="E299" s="29" t="e">
        <f t="shared" si="21"/>
        <v>#N/A</v>
      </c>
      <c r="F299" s="42" t="e">
        <f t="shared" si="22"/>
        <v>#N/A</v>
      </c>
      <c r="G299" s="42" t="e">
        <f t="shared" si="23"/>
        <v>#N/A</v>
      </c>
      <c r="H299" s="38" t="e">
        <f t="shared" si="24"/>
        <v>#N/A</v>
      </c>
      <c r="I299" s="42" t="e">
        <f t="shared" si="20"/>
        <v>#N/A</v>
      </c>
    </row>
    <row r="300" spans="1:9" x14ac:dyDescent="0.55000000000000004">
      <c r="A300" s="33">
        <f>'Historical backend'!G304</f>
        <v>44231</v>
      </c>
      <c r="B300" s="29">
        <f>'Historical backend'!H304</f>
        <v>160</v>
      </c>
      <c r="C300" s="29" t="e">
        <f>_xlfn.XLOOKUP(A300,'Historical backend'!B:B,'Historical backend'!C:C,_xlfn.XLOOKUP(A301,'Historical backend'!B:B,'Historical backend'!C:C))</f>
        <v>#N/A</v>
      </c>
      <c r="D300" s="29">
        <f>_xlfn.XLOOKUP(A300,'Historical backend'!L:L,'Historical backend'!M:M)</f>
        <v>23015</v>
      </c>
      <c r="E300" s="29" t="e">
        <f t="shared" si="21"/>
        <v>#N/A</v>
      </c>
      <c r="F300" s="42" t="e">
        <f t="shared" si="22"/>
        <v>#N/A</v>
      </c>
      <c r="G300" s="42" t="e">
        <f t="shared" si="23"/>
        <v>#N/A</v>
      </c>
      <c r="H300" s="38" t="e">
        <f t="shared" si="24"/>
        <v>#N/A</v>
      </c>
      <c r="I300" s="42" t="e">
        <f t="shared" si="20"/>
        <v>#N/A</v>
      </c>
    </row>
    <row r="301" spans="1:9" x14ac:dyDescent="0.55000000000000004">
      <c r="A301" s="33">
        <f>'Historical backend'!G305</f>
        <v>44224</v>
      </c>
      <c r="B301" s="29">
        <f>'Historical backend'!H305</f>
        <v>200</v>
      </c>
      <c r="C301" s="29" t="e">
        <f>_xlfn.XLOOKUP(A301,'Historical backend'!B:B,'Historical backend'!C:C,_xlfn.XLOOKUP(A302,'Historical backend'!B:B,'Historical backend'!C:C))</f>
        <v>#N/A</v>
      </c>
      <c r="D301" s="29">
        <f>_xlfn.XLOOKUP(A301,'Historical backend'!L:L,'Historical backend'!M:M)</f>
        <v>23059</v>
      </c>
      <c r="E301" s="29" t="e">
        <f t="shared" si="21"/>
        <v>#N/A</v>
      </c>
      <c r="F301" s="42" t="e">
        <f t="shared" si="22"/>
        <v>#N/A</v>
      </c>
      <c r="G301" s="42" t="e">
        <f t="shared" si="23"/>
        <v>#N/A</v>
      </c>
      <c r="H301" s="38" t="e">
        <f t="shared" si="24"/>
        <v>#N/A</v>
      </c>
      <c r="I301" s="42" t="e">
        <f t="shared" si="20"/>
        <v>#N/A</v>
      </c>
    </row>
    <row r="302" spans="1:9" x14ac:dyDescent="0.55000000000000004">
      <c r="A302" s="33">
        <f>'Historical backend'!G306</f>
        <v>44217</v>
      </c>
      <c r="B302" s="29">
        <f>'Historical backend'!H306</f>
        <v>150</v>
      </c>
      <c r="C302" s="29" t="e">
        <f>_xlfn.XLOOKUP(A302,'Historical backend'!B:B,'Historical backend'!C:C,_xlfn.XLOOKUP(A303,'Historical backend'!B:B,'Historical backend'!C:C))</f>
        <v>#N/A</v>
      </c>
      <c r="D302" s="29">
        <f>_xlfn.XLOOKUP(A302,'Historical backend'!L:L,'Historical backend'!M:M)</f>
        <v>23060</v>
      </c>
      <c r="E302" s="29" t="e">
        <f t="shared" si="21"/>
        <v>#N/A</v>
      </c>
      <c r="F302" s="42" t="e">
        <f t="shared" si="22"/>
        <v>#N/A</v>
      </c>
      <c r="G302" s="42" t="e">
        <f t="shared" si="23"/>
        <v>#N/A</v>
      </c>
      <c r="H302" s="38" t="e">
        <f t="shared" si="24"/>
        <v>#N/A</v>
      </c>
      <c r="I302" s="42" t="e">
        <f t="shared" si="20"/>
        <v>#N/A</v>
      </c>
    </row>
    <row r="303" spans="1:9" x14ac:dyDescent="0.55000000000000004">
      <c r="A303" s="33">
        <f>'Historical backend'!G307</f>
        <v>44210</v>
      </c>
      <c r="B303" s="29">
        <f>'Historical backend'!H307</f>
        <v>150</v>
      </c>
      <c r="C303" s="29" t="e">
        <f>_xlfn.XLOOKUP(A303,'Historical backend'!B:B,'Historical backend'!C:C,_xlfn.XLOOKUP(A304,'Historical backend'!B:B,'Historical backend'!C:C))</f>
        <v>#N/A</v>
      </c>
      <c r="D303" s="29">
        <f>_xlfn.XLOOKUP(A303,'Historical backend'!L:L,'Historical backend'!M:M)</f>
        <v>23064</v>
      </c>
      <c r="E303" s="29" t="e">
        <f t="shared" si="21"/>
        <v>#N/A</v>
      </c>
      <c r="F303" s="42" t="e">
        <f t="shared" si="22"/>
        <v>#N/A</v>
      </c>
      <c r="G303" s="42" t="e">
        <f t="shared" si="23"/>
        <v>#N/A</v>
      </c>
      <c r="H303" s="38" t="e">
        <f t="shared" si="24"/>
        <v>#N/A</v>
      </c>
      <c r="I303" s="42" t="e">
        <f t="shared" si="20"/>
        <v>#N/A</v>
      </c>
    </row>
    <row r="304" spans="1:9" x14ac:dyDescent="0.55000000000000004">
      <c r="A304" s="33">
        <f>'Historical backend'!G308</f>
        <v>44202</v>
      </c>
      <c r="B304" s="29">
        <f>'Historical backend'!H308</f>
        <v>160</v>
      </c>
      <c r="C304" s="29" t="e">
        <f>_xlfn.XLOOKUP(A304,'Historical backend'!B:B,'Historical backend'!C:C,_xlfn.XLOOKUP(A305,'Historical backend'!B:B,'Historical backend'!C:C))</f>
        <v>#N/A</v>
      </c>
      <c r="D304" s="29">
        <f>_xlfn.XLOOKUP(A304,'Historical backend'!L:L,'Historical backend'!M:M)</f>
        <v>23090</v>
      </c>
      <c r="E304" s="29" t="e">
        <f t="shared" si="21"/>
        <v>#N/A</v>
      </c>
      <c r="F304" s="42" t="e">
        <f t="shared" si="22"/>
        <v>#N/A</v>
      </c>
      <c r="G304" s="42" t="e">
        <f t="shared" si="23"/>
        <v>#N/A</v>
      </c>
      <c r="H304" s="38" t="e">
        <f t="shared" si="24"/>
        <v>#N/A</v>
      </c>
      <c r="I304" s="42" t="e">
        <f t="shared" si="20"/>
        <v>#N/A</v>
      </c>
    </row>
    <row r="305" spans="1:9" x14ac:dyDescent="0.55000000000000004">
      <c r="A305" s="33">
        <f>'Historical backend'!G309</f>
        <v>44195</v>
      </c>
      <c r="B305" s="29">
        <f>'Historical backend'!H309</f>
        <v>180</v>
      </c>
      <c r="C305" s="29" t="e">
        <f>_xlfn.XLOOKUP(A305,'Historical backend'!B:B,'Historical backend'!C:C,_xlfn.XLOOKUP(A306,'Historical backend'!B:B,'Historical backend'!C:C))</f>
        <v>#N/A</v>
      </c>
      <c r="D305" s="29">
        <f>_xlfn.XLOOKUP(A305,'Historical backend'!L:L,'Historical backend'!M:M)</f>
        <v>23088</v>
      </c>
      <c r="E305" s="29" t="e">
        <f t="shared" si="21"/>
        <v>#N/A</v>
      </c>
      <c r="F305" s="42" t="e">
        <f t="shared" si="22"/>
        <v>#N/A</v>
      </c>
      <c r="G305" s="42" t="e">
        <f t="shared" si="23"/>
        <v>#N/A</v>
      </c>
      <c r="H305" s="38" t="e">
        <f t="shared" si="24"/>
        <v>#N/A</v>
      </c>
      <c r="I305" s="42" t="e">
        <f t="shared" si="20"/>
        <v>#N/A</v>
      </c>
    </row>
    <row r="306" spans="1:9" x14ac:dyDescent="0.55000000000000004">
      <c r="A306" s="33">
        <f>'Historical backend'!G310</f>
        <v>44188</v>
      </c>
      <c r="B306" s="29">
        <f>'Historical backend'!H310</f>
        <v>180</v>
      </c>
      <c r="C306" s="29" t="e">
        <f>_xlfn.XLOOKUP(A306,'Historical backend'!B:B,'Historical backend'!C:C,_xlfn.XLOOKUP(A307,'Historical backend'!B:B,'Historical backend'!C:C))</f>
        <v>#N/A</v>
      </c>
      <c r="D306" s="29">
        <f>_xlfn.XLOOKUP(A306,'Historical backend'!L:L,'Historical backend'!M:M)</f>
        <v>23130</v>
      </c>
      <c r="E306" s="29" t="e">
        <f t="shared" si="21"/>
        <v>#N/A</v>
      </c>
      <c r="F306" s="42" t="e">
        <f t="shared" si="22"/>
        <v>#N/A</v>
      </c>
      <c r="G306" s="42" t="e">
        <f t="shared" si="23"/>
        <v>#N/A</v>
      </c>
      <c r="H306" s="38" t="e">
        <f t="shared" si="24"/>
        <v>#N/A</v>
      </c>
      <c r="I306" s="42" t="e">
        <f t="shared" si="20"/>
        <v>#N/A</v>
      </c>
    </row>
    <row r="307" spans="1:9" x14ac:dyDescent="0.55000000000000004">
      <c r="A307" s="33">
        <f>'Historical backend'!G311</f>
        <v>44182</v>
      </c>
      <c r="B307" s="29">
        <f>'Historical backend'!H311</f>
        <v>175</v>
      </c>
      <c r="C307" s="29" t="e">
        <f>_xlfn.XLOOKUP(A307,'Historical backend'!B:B,'Historical backend'!C:C,_xlfn.XLOOKUP(A308,'Historical backend'!B:B,'Historical backend'!C:C))</f>
        <v>#N/A</v>
      </c>
      <c r="D307" s="29">
        <f>_xlfn.XLOOKUP(A307,'Historical backend'!L:L,'Historical backend'!M:M)</f>
        <v>23120</v>
      </c>
      <c r="E307" s="29" t="e">
        <f t="shared" si="21"/>
        <v>#N/A</v>
      </c>
      <c r="F307" s="42" t="e">
        <f t="shared" si="22"/>
        <v>#N/A</v>
      </c>
      <c r="G307" s="42" t="e">
        <f t="shared" si="23"/>
        <v>#N/A</v>
      </c>
      <c r="H307" s="38" t="e">
        <f t="shared" si="24"/>
        <v>#N/A</v>
      </c>
      <c r="I307" s="42" t="e">
        <f t="shared" si="20"/>
        <v>#N/A</v>
      </c>
    </row>
    <row r="308" spans="1:9" x14ac:dyDescent="0.55000000000000004">
      <c r="A308" s="33">
        <f>'Historical backend'!G312</f>
        <v>44175</v>
      </c>
      <c r="B308" s="29">
        <f>'Historical backend'!H312</f>
        <v>175</v>
      </c>
      <c r="C308" s="29">
        <f>_xlfn.XLOOKUP(A308,'Historical backend'!B:B,'Historical backend'!C:C,_xlfn.XLOOKUP(A309,'Historical backend'!B:B,'Historical backend'!C:C))</f>
        <v>1371</v>
      </c>
      <c r="D308" s="29">
        <f>_xlfn.XLOOKUP(A308,'Historical backend'!L:L,'Historical backend'!M:M)</f>
        <v>23128</v>
      </c>
      <c r="E308" s="29">
        <f t="shared" si="21"/>
        <v>1546</v>
      </c>
      <c r="F308" s="42">
        <f t="shared" si="22"/>
        <v>35755.887999999999</v>
      </c>
      <c r="G308" s="42">
        <f t="shared" si="23"/>
        <v>35062.048000000003</v>
      </c>
      <c r="H308" s="38">
        <f t="shared" si="24"/>
        <v>3023.9515738498785</v>
      </c>
      <c r="I308" s="42">
        <f t="shared" si="20"/>
        <v>-414.89424999999756</v>
      </c>
    </row>
    <row r="309" spans="1:9" x14ac:dyDescent="0.55000000000000004">
      <c r="A309" s="33">
        <f>'Historical backend'!G313</f>
        <v>44168</v>
      </c>
      <c r="B309" s="29">
        <f>'Historical backend'!H313</f>
        <v>170</v>
      </c>
      <c r="C309" s="29">
        <f>_xlfn.XLOOKUP(A309,'Historical backend'!B:B,'Historical backend'!C:C,_xlfn.XLOOKUP(A310,'Historical backend'!B:B,'Historical backend'!C:C))</f>
        <v>1371</v>
      </c>
      <c r="D309" s="29">
        <f>_xlfn.XLOOKUP(A309,'Historical backend'!L:L,'Historical backend'!M:M)</f>
        <v>23125</v>
      </c>
      <c r="E309" s="29">
        <f t="shared" si="21"/>
        <v>1541</v>
      </c>
      <c r="F309" s="42">
        <f t="shared" si="22"/>
        <v>35635.625</v>
      </c>
      <c r="G309" s="42">
        <f t="shared" si="23"/>
        <v>34941.875</v>
      </c>
      <c r="H309" s="38">
        <f t="shared" si="24"/>
        <v>3029.5405405405409</v>
      </c>
      <c r="I309" s="42">
        <f t="shared" si="20"/>
        <v>49.037499999998545</v>
      </c>
    </row>
    <row r="310" spans="1:9" x14ac:dyDescent="0.55000000000000004">
      <c r="A310" s="33">
        <f>'Historical backend'!G314</f>
        <v>44161</v>
      </c>
      <c r="B310" s="29">
        <f>'Historical backend'!H314</f>
        <v>200</v>
      </c>
      <c r="C310" s="29">
        <f>_xlfn.XLOOKUP(A310,'Historical backend'!B:B,'Historical backend'!C:C,_xlfn.XLOOKUP(A311,'Historical backend'!B:B,'Historical backend'!C:C))</f>
        <v>1411</v>
      </c>
      <c r="D310" s="29">
        <f>_xlfn.XLOOKUP(A310,'Historical backend'!L:L,'Historical backend'!M:M)</f>
        <v>23164</v>
      </c>
      <c r="E310" s="29">
        <f t="shared" si="21"/>
        <v>1611</v>
      </c>
      <c r="F310" s="42">
        <f t="shared" si="22"/>
        <v>37317.203999999998</v>
      </c>
      <c r="G310" s="42">
        <f t="shared" si="23"/>
        <v>36622.284</v>
      </c>
      <c r="H310" s="38">
        <f t="shared" si="24"/>
        <v>2951.8958729062338</v>
      </c>
      <c r="I310" s="42">
        <f t="shared" si="20"/>
        <v>114.27499999999418</v>
      </c>
    </row>
    <row r="311" spans="1:9" x14ac:dyDescent="0.55000000000000004">
      <c r="A311" s="33">
        <f>'Historical backend'!G315</f>
        <v>44154</v>
      </c>
      <c r="B311" s="29">
        <f>'Historical backend'!H315</f>
        <v>180</v>
      </c>
      <c r="C311" s="29">
        <f>_xlfn.XLOOKUP(A311,'Historical backend'!B:B,'Historical backend'!C:C,_xlfn.XLOOKUP(A312,'Historical backend'!B:B,'Historical backend'!C:C))</f>
        <v>1391</v>
      </c>
      <c r="D311" s="29">
        <f>_xlfn.XLOOKUP(A311,'Historical backend'!L:L,'Historical backend'!M:M)</f>
        <v>23176</v>
      </c>
      <c r="E311" s="29">
        <f t="shared" si="21"/>
        <v>1571</v>
      </c>
      <c r="F311" s="42">
        <f t="shared" si="22"/>
        <v>36409.495999999999</v>
      </c>
      <c r="G311" s="42">
        <f t="shared" si="23"/>
        <v>35714.216</v>
      </c>
      <c r="H311" s="38">
        <f t="shared" si="24"/>
        <v>2989.5488436313426</v>
      </c>
      <c r="I311" s="42">
        <f t="shared" si="20"/>
        <v>-138.22350000000006</v>
      </c>
    </row>
    <row r="312" spans="1:9" x14ac:dyDescent="0.55000000000000004">
      <c r="A312" s="33">
        <f>'Historical backend'!G316</f>
        <v>44147</v>
      </c>
      <c r="B312" s="29">
        <f>'Historical backend'!H316</f>
        <v>210</v>
      </c>
      <c r="C312" s="29">
        <f>_xlfn.XLOOKUP(A312,'Historical backend'!B:B,'Historical backend'!C:C,_xlfn.XLOOKUP(A313,'Historical backend'!B:B,'Historical backend'!C:C))</f>
        <v>1413</v>
      </c>
      <c r="D312" s="29">
        <f>_xlfn.XLOOKUP(A312,'Historical backend'!L:L,'Historical backend'!M:M)</f>
        <v>23175</v>
      </c>
      <c r="E312" s="29">
        <f t="shared" si="21"/>
        <v>1623</v>
      </c>
      <c r="F312" s="42">
        <f t="shared" si="22"/>
        <v>37613.025000000001</v>
      </c>
      <c r="G312" s="42">
        <f t="shared" si="23"/>
        <v>36917.775000000001</v>
      </c>
      <c r="H312" s="38">
        <f t="shared" si="24"/>
        <v>2937.7443365695799</v>
      </c>
      <c r="I312" s="42">
        <f t="shared" si="20"/>
        <v>-335.21949999999197</v>
      </c>
    </row>
    <row r="313" spans="1:9" x14ac:dyDescent="0.55000000000000004">
      <c r="A313" s="33">
        <f>'Historical backend'!G317</f>
        <v>44140</v>
      </c>
      <c r="B313" s="29">
        <f>'Historical backend'!H317</f>
        <v>210</v>
      </c>
      <c r="C313" s="29">
        <f>_xlfn.XLOOKUP(A313,'Historical backend'!B:B,'Historical backend'!C:C,_xlfn.XLOOKUP(A314,'Historical backend'!B:B,'Historical backend'!C:C))</f>
        <v>1339</v>
      </c>
      <c r="D313" s="29">
        <f>_xlfn.XLOOKUP(A313,'Historical backend'!L:L,'Historical backend'!M:M)</f>
        <v>23175</v>
      </c>
      <c r="E313" s="29">
        <f t="shared" si="21"/>
        <v>1549</v>
      </c>
      <c r="F313" s="42">
        <f t="shared" si="22"/>
        <v>35898.074999999997</v>
      </c>
      <c r="G313" s="42">
        <f t="shared" si="23"/>
        <v>35202.824999999997</v>
      </c>
      <c r="H313" s="38">
        <f t="shared" si="24"/>
        <v>3011.7443365695794</v>
      </c>
      <c r="I313" s="42">
        <f t="shared" si="20"/>
        <v>-957.00824999999895</v>
      </c>
    </row>
    <row r="314" spans="1:9" x14ac:dyDescent="0.55000000000000004">
      <c r="A314" s="33">
        <f>'Historical backend'!G318</f>
        <v>44133</v>
      </c>
      <c r="B314" s="29">
        <f>'Historical backend'!H318</f>
        <v>230</v>
      </c>
      <c r="C314" s="29">
        <f>_xlfn.XLOOKUP(A314,'Historical backend'!B:B,'Historical backend'!C:C,_xlfn.XLOOKUP(A315,'Historical backend'!B:B,'Historical backend'!C:C))</f>
        <v>1337</v>
      </c>
      <c r="D314" s="29">
        <f>_xlfn.XLOOKUP(A314,'Historical backend'!L:L,'Historical backend'!M:M)</f>
        <v>23170</v>
      </c>
      <c r="E314" s="29">
        <f t="shared" si="21"/>
        <v>1567</v>
      </c>
      <c r="F314" s="42">
        <f t="shared" si="22"/>
        <v>36307.39</v>
      </c>
      <c r="G314" s="42">
        <f t="shared" si="23"/>
        <v>35612.29</v>
      </c>
      <c r="H314" s="38">
        <f t="shared" si="24"/>
        <v>2994.7220543806643</v>
      </c>
      <c r="I314" s="42">
        <f t="shared" si="20"/>
        <v>-1287.2017500000002</v>
      </c>
    </row>
    <row r="315" spans="1:9" x14ac:dyDescent="0.55000000000000004">
      <c r="A315" s="33">
        <f>'Historical backend'!G319</f>
        <v>44126</v>
      </c>
      <c r="B315" s="29">
        <f>'Historical backend'!H319</f>
        <v>230</v>
      </c>
      <c r="C315" s="29">
        <f>_xlfn.XLOOKUP(A315,'Historical backend'!B:B,'Historical backend'!C:C,_xlfn.XLOOKUP(A316,'Historical backend'!B:B,'Historical backend'!C:C))</f>
        <v>1307</v>
      </c>
      <c r="D315" s="29">
        <f>_xlfn.XLOOKUP(A315,'Historical backend'!L:L,'Historical backend'!M:M)</f>
        <v>23176</v>
      </c>
      <c r="E315" s="29">
        <f t="shared" si="21"/>
        <v>1537</v>
      </c>
      <c r="F315" s="42">
        <f t="shared" si="22"/>
        <v>35621.512000000002</v>
      </c>
      <c r="G315" s="42">
        <f t="shared" si="23"/>
        <v>34926.232000000004</v>
      </c>
      <c r="H315" s="38">
        <f t="shared" si="24"/>
        <v>3023.5488436313426</v>
      </c>
      <c r="I315" s="42">
        <f t="shared" si="20"/>
        <v>-1581.7292499999967</v>
      </c>
    </row>
    <row r="316" spans="1:9" x14ac:dyDescent="0.55000000000000004">
      <c r="A316" s="33">
        <f>'Historical backend'!G320</f>
        <v>44119</v>
      </c>
      <c r="B316" s="29">
        <f>'Historical backend'!H320</f>
        <v>230</v>
      </c>
      <c r="C316" s="29">
        <f>_xlfn.XLOOKUP(A316,'Historical backend'!B:B,'Historical backend'!C:C,_xlfn.XLOOKUP(A317,'Historical backend'!B:B,'Historical backend'!C:C))</f>
        <v>1286</v>
      </c>
      <c r="D316" s="29">
        <f>_xlfn.XLOOKUP(A316,'Historical backend'!L:L,'Historical backend'!M:M)</f>
        <v>23170</v>
      </c>
      <c r="E316" s="29">
        <f t="shared" si="21"/>
        <v>1516</v>
      </c>
      <c r="F316" s="42">
        <f t="shared" si="22"/>
        <v>35125.72</v>
      </c>
      <c r="G316" s="42">
        <f t="shared" si="23"/>
        <v>34430.620000000003</v>
      </c>
      <c r="H316" s="38">
        <f t="shared" si="24"/>
        <v>3045.7220543806648</v>
      </c>
      <c r="I316" s="42">
        <f t="shared" si="20"/>
        <v>-1549.7352499999979</v>
      </c>
    </row>
    <row r="317" spans="1:9" x14ac:dyDescent="0.55000000000000004">
      <c r="A317" s="33">
        <f>'Historical backend'!G321</f>
        <v>44112</v>
      </c>
      <c r="B317" s="29">
        <f>'Historical backend'!H321</f>
        <v>220</v>
      </c>
      <c r="C317" s="29">
        <f>_xlfn.XLOOKUP(A317,'Historical backend'!B:B,'Historical backend'!C:C,_xlfn.XLOOKUP(A318,'Historical backend'!B:B,'Historical backend'!C:C))</f>
        <v>1271</v>
      </c>
      <c r="D317" s="29">
        <f>_xlfn.XLOOKUP(A317,'Historical backend'!L:L,'Historical backend'!M:M)</f>
        <v>23191</v>
      </c>
      <c r="E317" s="29">
        <f t="shared" si="21"/>
        <v>1491</v>
      </c>
      <c r="F317" s="42">
        <f t="shared" si="22"/>
        <v>34577.781000000003</v>
      </c>
      <c r="G317" s="42">
        <f t="shared" si="23"/>
        <v>33882.050999999999</v>
      </c>
      <c r="H317" s="38">
        <f t="shared" si="24"/>
        <v>3066.6184726833681</v>
      </c>
      <c r="I317" s="42">
        <f t="shared" si="20"/>
        <v>-1254.317750000002</v>
      </c>
    </row>
    <row r="318" spans="1:9" x14ac:dyDescent="0.55000000000000004">
      <c r="A318" s="33">
        <f>'Historical backend'!G322</f>
        <v>44105</v>
      </c>
      <c r="B318" s="29">
        <f>'Historical backend'!H322</f>
        <v>200</v>
      </c>
      <c r="C318" s="29">
        <f>_xlfn.XLOOKUP(A318,'Historical backend'!B:B,'Historical backend'!C:C,_xlfn.XLOOKUP(A319,'Historical backend'!B:B,'Historical backend'!C:C))</f>
        <v>1315</v>
      </c>
      <c r="D318" s="29">
        <f>_xlfn.XLOOKUP(A318,'Historical backend'!L:L,'Historical backend'!M:M)</f>
        <v>23188</v>
      </c>
      <c r="E318" s="29">
        <f t="shared" si="21"/>
        <v>1515</v>
      </c>
      <c r="F318" s="42">
        <f t="shared" si="22"/>
        <v>35129.82</v>
      </c>
      <c r="G318" s="42">
        <f t="shared" si="23"/>
        <v>34434.18</v>
      </c>
      <c r="H318" s="38">
        <f t="shared" si="24"/>
        <v>3043.2042435742628</v>
      </c>
      <c r="I318" s="42">
        <f t="shared" si="20"/>
        <v>-728.10737499999232</v>
      </c>
    </row>
    <row r="319" spans="1:9" x14ac:dyDescent="0.55000000000000004">
      <c r="A319" s="33">
        <f>'Historical backend'!G323</f>
        <v>44098</v>
      </c>
      <c r="B319" s="29">
        <f>'Historical backend'!H323</f>
        <v>190</v>
      </c>
      <c r="C319" s="29">
        <f>_xlfn.XLOOKUP(A319,'Historical backend'!B:B,'Historical backend'!C:C,_xlfn.XLOOKUP(A320,'Historical backend'!B:B,'Historical backend'!C:C))</f>
        <v>1352</v>
      </c>
      <c r="D319" s="29">
        <f>_xlfn.XLOOKUP(A319,'Historical backend'!L:L,'Historical backend'!M:M)</f>
        <v>23184</v>
      </c>
      <c r="E319" s="29">
        <f t="shared" si="21"/>
        <v>1542</v>
      </c>
      <c r="F319" s="42">
        <f t="shared" si="22"/>
        <v>35749.728000000003</v>
      </c>
      <c r="G319" s="42">
        <f t="shared" si="23"/>
        <v>35054.207999999999</v>
      </c>
      <c r="H319" s="38">
        <f t="shared" si="24"/>
        <v>3016.985507246377</v>
      </c>
      <c r="I319" s="42">
        <f t="shared" si="20"/>
        <v>-206.09637500000099</v>
      </c>
    </row>
    <row r="320" spans="1:9" x14ac:dyDescent="0.55000000000000004">
      <c r="A320" s="33">
        <f>'Historical backend'!G324</f>
        <v>44091</v>
      </c>
      <c r="B320" s="29">
        <f>'Historical backend'!H324</f>
        <v>180</v>
      </c>
      <c r="C320" s="29">
        <f>_xlfn.XLOOKUP(A320,'Historical backend'!B:B,'Historical backend'!C:C,_xlfn.XLOOKUP(A321,'Historical backend'!B:B,'Historical backend'!C:C))</f>
        <v>1387</v>
      </c>
      <c r="D320" s="29">
        <f>_xlfn.XLOOKUP(A320,'Historical backend'!L:L,'Historical backend'!M:M)</f>
        <v>23170</v>
      </c>
      <c r="E320" s="29">
        <f t="shared" si="21"/>
        <v>1567</v>
      </c>
      <c r="F320" s="42">
        <f t="shared" si="22"/>
        <v>36307.39</v>
      </c>
      <c r="G320" s="42">
        <f t="shared" si="23"/>
        <v>35612.29</v>
      </c>
      <c r="H320" s="38">
        <f t="shared" si="24"/>
        <v>2994.7220543806643</v>
      </c>
      <c r="I320" s="42">
        <f t="shared" si="20"/>
        <v>155.11412500000006</v>
      </c>
    </row>
    <row r="321" spans="1:9" x14ac:dyDescent="0.55000000000000004">
      <c r="A321" s="33">
        <f>'Historical backend'!G325</f>
        <v>44084</v>
      </c>
      <c r="B321" s="29">
        <f>'Historical backend'!H325</f>
        <v>160</v>
      </c>
      <c r="C321" s="29">
        <f>_xlfn.XLOOKUP(A321,'Historical backend'!B:B,'Historical backend'!C:C,_xlfn.XLOOKUP(A322,'Historical backend'!B:B,'Historical backend'!C:C))</f>
        <v>1423</v>
      </c>
      <c r="D321" s="29">
        <f>_xlfn.XLOOKUP(A321,'Historical backend'!L:L,'Historical backend'!M:M)</f>
        <v>23172.5</v>
      </c>
      <c r="E321" s="29">
        <f t="shared" si="21"/>
        <v>1583</v>
      </c>
      <c r="F321" s="42">
        <f t="shared" si="22"/>
        <v>36682.067499999997</v>
      </c>
      <c r="G321" s="42">
        <f t="shared" si="23"/>
        <v>35986.892500000002</v>
      </c>
      <c r="H321" s="38">
        <f t="shared" si="24"/>
        <v>2978.2331427338436</v>
      </c>
      <c r="I321" s="42">
        <f t="shared" si="20"/>
        <v>434.73912500000006</v>
      </c>
    </row>
    <row r="322" spans="1:9" x14ac:dyDescent="0.55000000000000004">
      <c r="A322" s="33">
        <f>'Historical backend'!G326</f>
        <v>44077</v>
      </c>
      <c r="B322" s="29">
        <f>'Historical backend'!H326</f>
        <v>170</v>
      </c>
      <c r="C322" s="29">
        <f>_xlfn.XLOOKUP(A322,'Historical backend'!B:B,'Historical backend'!C:C,_xlfn.XLOOKUP(A323,'Historical backend'!B:B,'Historical backend'!C:C))</f>
        <v>1436</v>
      </c>
      <c r="D322" s="29">
        <f>_xlfn.XLOOKUP(A322,'Historical backend'!L:L,'Historical backend'!M:M)</f>
        <v>23174</v>
      </c>
      <c r="E322" s="29">
        <f t="shared" si="21"/>
        <v>1606</v>
      </c>
      <c r="F322" s="42">
        <f t="shared" si="22"/>
        <v>37217.444000000003</v>
      </c>
      <c r="G322" s="42">
        <f t="shared" si="23"/>
        <v>36522.224000000002</v>
      </c>
      <c r="H322" s="38">
        <f t="shared" si="24"/>
        <v>2954.9398463795633</v>
      </c>
      <c r="I322" s="42">
        <f t="shared" ref="I322:I385" si="25">AVERAGE(G322:G325)-$R$6</f>
        <v>835.07300000000396</v>
      </c>
    </row>
    <row r="323" spans="1:9" x14ac:dyDescent="0.55000000000000004">
      <c r="A323" s="33">
        <f>'Historical backend'!G327</f>
        <v>44070</v>
      </c>
      <c r="B323" s="29">
        <f>'Historical backend'!H327</f>
        <v>200</v>
      </c>
      <c r="C323" s="29">
        <f>_xlfn.XLOOKUP(A323,'Historical backend'!B:B,'Historical backend'!C:C,_xlfn.XLOOKUP(A324,'Historical backend'!B:B,'Historical backend'!C:C))</f>
        <v>1405</v>
      </c>
      <c r="D323" s="29">
        <f>_xlfn.XLOOKUP(A323,'Historical backend'!L:L,'Historical backend'!M:M)</f>
        <v>23174</v>
      </c>
      <c r="E323" s="29">
        <f t="shared" ref="E323:E386" si="26">C323+B323</f>
        <v>1605</v>
      </c>
      <c r="F323" s="42">
        <f t="shared" ref="F323:F386" si="27">E323*D323/1000</f>
        <v>37194.269999999997</v>
      </c>
      <c r="G323" s="42">
        <f t="shared" ref="G323:G386" si="28">(E323-$R$2)*D323/1000</f>
        <v>36499.050000000003</v>
      </c>
      <c r="H323" s="38">
        <f t="shared" ref="H323:H386" si="29">($R$4-G323)/D323*1000</f>
        <v>2955.9398463795633</v>
      </c>
      <c r="I323" s="42">
        <f t="shared" si="25"/>
        <v>1049.0292499999996</v>
      </c>
    </row>
    <row r="324" spans="1:9" x14ac:dyDescent="0.55000000000000004">
      <c r="A324" s="33">
        <f>'Historical backend'!G328</f>
        <v>44063</v>
      </c>
      <c r="B324" s="29">
        <f>'Historical backend'!H328</f>
        <v>230</v>
      </c>
      <c r="C324" s="29">
        <f>_xlfn.XLOOKUP(A324,'Historical backend'!B:B,'Historical backend'!C:C,_xlfn.XLOOKUP(A325,'Historical backend'!B:B,'Historical backend'!C:C))</f>
        <v>1385</v>
      </c>
      <c r="D324" s="29">
        <f>_xlfn.XLOOKUP(A324,'Historical backend'!L:L,'Historical backend'!M:M)</f>
        <v>23174</v>
      </c>
      <c r="E324" s="29">
        <f t="shared" si="26"/>
        <v>1615</v>
      </c>
      <c r="F324" s="42">
        <f t="shared" si="27"/>
        <v>37426.01</v>
      </c>
      <c r="G324" s="42">
        <f t="shared" si="28"/>
        <v>36730.79</v>
      </c>
      <c r="H324" s="38">
        <f t="shared" si="29"/>
        <v>2945.9398463795628</v>
      </c>
      <c r="I324" s="42">
        <f t="shared" si="25"/>
        <v>1286.9667500000069</v>
      </c>
    </row>
    <row r="325" spans="1:9" x14ac:dyDescent="0.55000000000000004">
      <c r="A325" s="33">
        <f>'Historical backend'!G329</f>
        <v>44056</v>
      </c>
      <c r="B325" s="29">
        <f>'Historical backend'!H329</f>
        <v>270</v>
      </c>
      <c r="C325" s="29">
        <f>_xlfn.XLOOKUP(A325,'Historical backend'!B:B,'Historical backend'!C:C,_xlfn.XLOOKUP(A326,'Historical backend'!B:B,'Historical backend'!C:C))</f>
        <v>1382</v>
      </c>
      <c r="D325" s="29">
        <f>_xlfn.XLOOKUP(A325,'Historical backend'!L:L,'Historical backend'!M:M)</f>
        <v>23174</v>
      </c>
      <c r="E325" s="29">
        <f t="shared" si="26"/>
        <v>1652</v>
      </c>
      <c r="F325" s="42">
        <f t="shared" si="27"/>
        <v>38283.447999999997</v>
      </c>
      <c r="G325" s="42">
        <f t="shared" si="28"/>
        <v>37588.228000000003</v>
      </c>
      <c r="H325" s="38">
        <f t="shared" si="29"/>
        <v>2908.9398463795628</v>
      </c>
      <c r="I325" s="42">
        <f t="shared" si="25"/>
        <v>1592.3212500000009</v>
      </c>
    </row>
    <row r="326" spans="1:9" x14ac:dyDescent="0.55000000000000004">
      <c r="A326" s="33">
        <f>'Historical backend'!G330</f>
        <v>44049</v>
      </c>
      <c r="B326" s="29">
        <f>'Historical backend'!H330</f>
        <v>290</v>
      </c>
      <c r="C326" s="29">
        <f>_xlfn.XLOOKUP(A326,'Historical backend'!B:B,'Historical backend'!C:C,_xlfn.XLOOKUP(A327,'Historical backend'!B:B,'Historical backend'!C:C))</f>
        <v>1353</v>
      </c>
      <c r="D326" s="29">
        <f>_xlfn.XLOOKUP(A326,'Historical backend'!L:L,'Historical backend'!M:M)</f>
        <v>23173</v>
      </c>
      <c r="E326" s="29">
        <f t="shared" si="26"/>
        <v>1643</v>
      </c>
      <c r="F326" s="42">
        <f t="shared" si="27"/>
        <v>38073.239000000001</v>
      </c>
      <c r="G326" s="42">
        <f t="shared" si="28"/>
        <v>37378.048999999999</v>
      </c>
      <c r="H326" s="38">
        <f t="shared" si="29"/>
        <v>2918.1353730634792</v>
      </c>
      <c r="I326" s="42">
        <f t="shared" si="25"/>
        <v>923.66374999999971</v>
      </c>
    </row>
    <row r="327" spans="1:9" x14ac:dyDescent="0.55000000000000004">
      <c r="A327" s="33">
        <f>'Historical backend'!G331</f>
        <v>44042</v>
      </c>
      <c r="B327" s="29">
        <f>'Historical backend'!H331</f>
        <v>290</v>
      </c>
      <c r="C327" s="29">
        <f>_xlfn.XLOOKUP(A327,'Historical backend'!B:B,'Historical backend'!C:C,_xlfn.XLOOKUP(A328,'Historical backend'!B:B,'Historical backend'!C:C))</f>
        <v>1356</v>
      </c>
      <c r="D327" s="29">
        <f>_xlfn.XLOOKUP(A327,'Historical backend'!L:L,'Historical backend'!M:M)</f>
        <v>23175</v>
      </c>
      <c r="E327" s="29">
        <f t="shared" si="26"/>
        <v>1646</v>
      </c>
      <c r="F327" s="42">
        <f t="shared" si="27"/>
        <v>38146.050000000003</v>
      </c>
      <c r="G327" s="42">
        <f t="shared" si="28"/>
        <v>37450.800000000003</v>
      </c>
      <c r="H327" s="38">
        <f t="shared" si="29"/>
        <v>2914.744336569579</v>
      </c>
      <c r="I327" s="42">
        <f t="shared" si="25"/>
        <v>197.8035000000018</v>
      </c>
    </row>
    <row r="328" spans="1:9" x14ac:dyDescent="0.55000000000000004">
      <c r="A328" s="33">
        <f>'Historical backend'!G332</f>
        <v>44034</v>
      </c>
      <c r="B328" s="29">
        <f>'Historical backend'!H332</f>
        <v>310</v>
      </c>
      <c r="C328" s="29">
        <f>_xlfn.XLOOKUP(A328,'Historical backend'!B:B,'Historical backend'!C:C,_xlfn.XLOOKUP(A329,'Historical backend'!B:B,'Historical backend'!C:C))</f>
        <v>1357</v>
      </c>
      <c r="D328" s="29">
        <f>_xlfn.XLOOKUP(A328,'Historical backend'!L:L,'Historical backend'!M:M)</f>
        <v>23184</v>
      </c>
      <c r="E328" s="29">
        <f t="shared" si="26"/>
        <v>1667</v>
      </c>
      <c r="F328" s="42">
        <f t="shared" si="27"/>
        <v>38647.728000000003</v>
      </c>
      <c r="G328" s="42">
        <f t="shared" si="28"/>
        <v>37952.207999999999</v>
      </c>
      <c r="H328" s="38">
        <f t="shared" si="29"/>
        <v>2891.985507246377</v>
      </c>
      <c r="I328" s="42">
        <f t="shared" si="25"/>
        <v>-568.55550000000221</v>
      </c>
    </row>
    <row r="329" spans="1:9" x14ac:dyDescent="0.55000000000000004">
      <c r="A329" s="33">
        <f>'Historical backend'!G333</f>
        <v>44027</v>
      </c>
      <c r="B329" s="29">
        <f>'Historical backend'!H333</f>
        <v>310</v>
      </c>
      <c r="C329" s="29">
        <f>_xlfn.XLOOKUP(A329,'Historical backend'!B:B,'Historical backend'!C:C,_xlfn.XLOOKUP(A330,'Historical backend'!B:B,'Historical backend'!C:C))</f>
        <v>1226</v>
      </c>
      <c r="D329" s="29">
        <f>_xlfn.XLOOKUP(A329,'Historical backend'!L:L,'Historical backend'!M:M)</f>
        <v>23183</v>
      </c>
      <c r="E329" s="29">
        <f t="shared" si="26"/>
        <v>1536</v>
      </c>
      <c r="F329" s="42">
        <f t="shared" si="27"/>
        <v>35609.088000000003</v>
      </c>
      <c r="G329" s="42">
        <f t="shared" si="28"/>
        <v>34913.597999999998</v>
      </c>
      <c r="H329" s="38">
        <f t="shared" si="29"/>
        <v>3023.1808652892205</v>
      </c>
      <c r="I329" s="42">
        <f t="shared" si="25"/>
        <v>-1794.5594999999958</v>
      </c>
    </row>
    <row r="330" spans="1:9" x14ac:dyDescent="0.55000000000000004">
      <c r="A330" s="33">
        <f>'Historical backend'!G334</f>
        <v>44021</v>
      </c>
      <c r="B330" s="29">
        <f>'Historical backend'!H334</f>
        <v>320</v>
      </c>
      <c r="C330" s="29">
        <f>_xlfn.XLOOKUP(A330,'Historical backend'!B:B,'Historical backend'!C:C,_xlfn.XLOOKUP(A331,'Historical backend'!B:B,'Historical backend'!C:C))</f>
        <v>1197</v>
      </c>
      <c r="D330" s="29">
        <f>_xlfn.XLOOKUP(A330,'Historical backend'!L:L,'Historical backend'!M:M)</f>
        <v>23184</v>
      </c>
      <c r="E330" s="29">
        <f t="shared" si="26"/>
        <v>1517</v>
      </c>
      <c r="F330" s="42">
        <f t="shared" si="27"/>
        <v>35170.127999999997</v>
      </c>
      <c r="G330" s="42">
        <f t="shared" si="28"/>
        <v>34474.608</v>
      </c>
      <c r="H330" s="38">
        <f t="shared" si="29"/>
        <v>3041.9855072463765</v>
      </c>
      <c r="I330" s="42">
        <f t="shared" si="25"/>
        <v>-2202.1739999999991</v>
      </c>
    </row>
    <row r="331" spans="1:9" x14ac:dyDescent="0.55000000000000004">
      <c r="A331" s="33">
        <f>'Historical backend'!G335</f>
        <v>44014</v>
      </c>
      <c r="B331" s="29">
        <f>'Historical backend'!H335</f>
        <v>310</v>
      </c>
      <c r="C331" s="29">
        <f>_xlfn.XLOOKUP(A331,'Historical backend'!B:B,'Historical backend'!C:C,_xlfn.XLOOKUP(A332,'Historical backend'!B:B,'Historical backend'!C:C))</f>
        <v>1202</v>
      </c>
      <c r="D331" s="29">
        <f>_xlfn.XLOOKUP(A331,'Historical backend'!L:L,'Historical backend'!M:M)</f>
        <v>23202</v>
      </c>
      <c r="E331" s="29">
        <f t="shared" si="26"/>
        <v>1512</v>
      </c>
      <c r="F331" s="42">
        <f t="shared" si="27"/>
        <v>35081.423999999999</v>
      </c>
      <c r="G331" s="42">
        <f t="shared" si="28"/>
        <v>34385.364000000001</v>
      </c>
      <c r="H331" s="38">
        <f t="shared" si="29"/>
        <v>3043.4719420739593</v>
      </c>
      <c r="I331" s="42">
        <f t="shared" si="25"/>
        <v>-2248.6872499999954</v>
      </c>
    </row>
    <row r="332" spans="1:9" x14ac:dyDescent="0.55000000000000004">
      <c r="A332" s="33">
        <f>'Historical backend'!G336</f>
        <v>44007</v>
      </c>
      <c r="B332" s="29">
        <f>'Historical backend'!H336</f>
        <v>300</v>
      </c>
      <c r="C332" s="29">
        <f>_xlfn.XLOOKUP(A332,'Historical backend'!B:B,'Historical backend'!C:C,_xlfn.XLOOKUP(A333,'Historical backend'!B:B,'Historical backend'!C:C))</f>
        <v>1154</v>
      </c>
      <c r="D332" s="29">
        <f>_xlfn.XLOOKUP(A332,'Historical backend'!L:L,'Historical backend'!M:M)</f>
        <v>23208</v>
      </c>
      <c r="E332" s="29">
        <f t="shared" si="26"/>
        <v>1454</v>
      </c>
      <c r="F332" s="42">
        <f t="shared" si="27"/>
        <v>33744.432000000001</v>
      </c>
      <c r="G332" s="42">
        <f t="shared" si="28"/>
        <v>33048.192000000003</v>
      </c>
      <c r="H332" s="38">
        <f t="shared" si="29"/>
        <v>3100.3019648397099</v>
      </c>
      <c r="I332" s="42">
        <f t="shared" si="25"/>
        <v>-2354.0332500000004</v>
      </c>
    </row>
    <row r="333" spans="1:9" x14ac:dyDescent="0.55000000000000004">
      <c r="A333" s="33">
        <f>'Historical backend'!G337</f>
        <v>44000</v>
      </c>
      <c r="B333" s="29">
        <f>'Historical backend'!H337</f>
        <v>300</v>
      </c>
      <c r="C333" s="29">
        <f>_xlfn.XLOOKUP(A333,'Historical backend'!B:B,'Historical backend'!C:C,_xlfn.XLOOKUP(A334,'Historical backend'!B:B,'Historical backend'!C:C))</f>
        <v>1164</v>
      </c>
      <c r="D333" s="29">
        <f>_xlfn.XLOOKUP(A333,'Historical backend'!L:L,'Historical backend'!M:M)</f>
        <v>23210</v>
      </c>
      <c r="E333" s="29">
        <f t="shared" si="26"/>
        <v>1464</v>
      </c>
      <c r="F333" s="42">
        <f t="shared" si="27"/>
        <v>33979.440000000002</v>
      </c>
      <c r="G333" s="42">
        <f t="shared" si="28"/>
        <v>33283.14</v>
      </c>
      <c r="H333" s="38">
        <f t="shared" si="29"/>
        <v>3089.9121068504955</v>
      </c>
      <c r="I333" s="42">
        <f t="shared" si="25"/>
        <v>-2175.65625</v>
      </c>
    </row>
    <row r="334" spans="1:9" x14ac:dyDescent="0.55000000000000004">
      <c r="A334" s="33">
        <f>'Historical backend'!G338</f>
        <v>43993</v>
      </c>
      <c r="B334" s="29">
        <f>'Historical backend'!H338</f>
        <v>280</v>
      </c>
      <c r="C334" s="29">
        <f>_xlfn.XLOOKUP(A334,'Historical backend'!B:B,'Historical backend'!C:C,_xlfn.XLOOKUP(A335,'Historical backend'!B:B,'Historical backend'!C:C))</f>
        <v>1227</v>
      </c>
      <c r="D334" s="29">
        <f>_xlfn.XLOOKUP(A334,'Historical backend'!L:L,'Historical backend'!M:M)</f>
        <v>23215</v>
      </c>
      <c r="E334" s="29">
        <f t="shared" si="26"/>
        <v>1507</v>
      </c>
      <c r="F334" s="42">
        <f t="shared" si="27"/>
        <v>34985.004999999997</v>
      </c>
      <c r="G334" s="42">
        <f t="shared" si="28"/>
        <v>34288.555</v>
      </c>
      <c r="H334" s="38">
        <f t="shared" si="29"/>
        <v>3045.9377557613616</v>
      </c>
      <c r="I334" s="42">
        <f t="shared" si="25"/>
        <v>-2142.5112499999959</v>
      </c>
    </row>
    <row r="335" spans="1:9" x14ac:dyDescent="0.55000000000000004">
      <c r="A335" s="33">
        <f>'Historical backend'!G339</f>
        <v>43986</v>
      </c>
      <c r="B335" s="29">
        <f>'Historical backend'!H339</f>
        <v>280</v>
      </c>
      <c r="C335" s="29">
        <f>_xlfn.XLOOKUP(A335,'Historical backend'!B:B,'Historical backend'!C:C,_xlfn.XLOOKUP(A336,'Historical backend'!B:B,'Historical backend'!C:C))</f>
        <v>1210</v>
      </c>
      <c r="D335" s="29">
        <f>_xlfn.XLOOKUP(A335,'Historical backend'!L:L,'Historical backend'!M:M)</f>
        <v>23263</v>
      </c>
      <c r="E335" s="29">
        <f t="shared" si="26"/>
        <v>1490</v>
      </c>
      <c r="F335" s="42">
        <f t="shared" si="27"/>
        <v>34661.870000000003</v>
      </c>
      <c r="G335" s="42">
        <f t="shared" si="28"/>
        <v>33963.980000000003</v>
      </c>
      <c r="H335" s="38">
        <f t="shared" si="29"/>
        <v>3053.6052959635467</v>
      </c>
      <c r="I335" s="42">
        <f t="shared" si="25"/>
        <v>-2495.4499999999971</v>
      </c>
    </row>
    <row r="336" spans="1:9" x14ac:dyDescent="0.55000000000000004">
      <c r="A336" s="33">
        <f>'Historical backend'!G340</f>
        <v>43979</v>
      </c>
      <c r="B336" s="29">
        <f>'Historical backend'!H340</f>
        <v>280</v>
      </c>
      <c r="C336" s="29">
        <f>_xlfn.XLOOKUP(A336,'Historical backend'!B:B,'Historical backend'!C:C,_xlfn.XLOOKUP(A337,'Historical backend'!B:B,'Historical backend'!C:C))</f>
        <v>1199</v>
      </c>
      <c r="D336" s="29">
        <f>_xlfn.XLOOKUP(A336,'Historical backend'!L:L,'Historical backend'!M:M)</f>
        <v>23300</v>
      </c>
      <c r="E336" s="29">
        <f t="shared" si="26"/>
        <v>1479</v>
      </c>
      <c r="F336" s="42">
        <f t="shared" si="27"/>
        <v>34460.699999999997</v>
      </c>
      <c r="G336" s="42">
        <f t="shared" si="28"/>
        <v>33761.699999999997</v>
      </c>
      <c r="H336" s="38">
        <f t="shared" si="29"/>
        <v>3057.4377682403433</v>
      </c>
      <c r="I336" s="42">
        <f t="shared" si="25"/>
        <v>-2635.4324999999953</v>
      </c>
    </row>
    <row r="337" spans="1:9" x14ac:dyDescent="0.55000000000000004">
      <c r="A337" s="33">
        <f>'Historical backend'!G341</f>
        <v>43971</v>
      </c>
      <c r="B337" s="29">
        <f>'Historical backend'!H341</f>
        <v>280</v>
      </c>
      <c r="C337" s="29">
        <f>_xlfn.XLOOKUP(A337,'Historical backend'!B:B,'Historical backend'!C:C,_xlfn.XLOOKUP(A338,'Historical backend'!B:B,'Historical backend'!C:C))</f>
        <v>1186</v>
      </c>
      <c r="D337" s="29">
        <f>_xlfn.XLOOKUP(A337,'Historical backend'!L:L,'Historical backend'!M:M)</f>
        <v>23270</v>
      </c>
      <c r="E337" s="29">
        <f t="shared" si="26"/>
        <v>1466</v>
      </c>
      <c r="F337" s="42">
        <f t="shared" si="27"/>
        <v>34113.82</v>
      </c>
      <c r="G337" s="42">
        <f t="shared" si="28"/>
        <v>33415.72</v>
      </c>
      <c r="H337" s="38">
        <f t="shared" si="29"/>
        <v>3076.2475290073053</v>
      </c>
      <c r="I337" s="42">
        <f t="shared" si="25"/>
        <v>-2676.9194999999963</v>
      </c>
    </row>
    <row r="338" spans="1:9" x14ac:dyDescent="0.55000000000000004">
      <c r="A338" s="33">
        <f>'Historical backend'!G342</f>
        <v>43965</v>
      </c>
      <c r="B338" s="29">
        <f>'Historical backend'!H342</f>
        <v>270</v>
      </c>
      <c r="C338" s="29">
        <f>_xlfn.XLOOKUP(A338,'Historical backend'!B:B,'Historical backend'!C:C,_xlfn.XLOOKUP(A339,'Historical backend'!B:B,'Historical backend'!C:C))</f>
        <v>1168</v>
      </c>
      <c r="D338" s="29">
        <f>_xlfn.XLOOKUP(A338,'Historical backend'!L:L,'Historical backend'!M:M)</f>
        <v>23350</v>
      </c>
      <c r="E338" s="29">
        <f t="shared" si="26"/>
        <v>1438</v>
      </c>
      <c r="F338" s="42">
        <f t="shared" si="27"/>
        <v>33577.300000000003</v>
      </c>
      <c r="G338" s="42">
        <f t="shared" si="28"/>
        <v>32876.800000000003</v>
      </c>
      <c r="H338" s="38">
        <f t="shared" si="29"/>
        <v>3088.7880085653105</v>
      </c>
      <c r="I338" s="42">
        <f t="shared" si="25"/>
        <v>-2869.8119999999981</v>
      </c>
    </row>
    <row r="339" spans="1:9" x14ac:dyDescent="0.55000000000000004">
      <c r="A339" s="33">
        <f>'Historical backend'!G343</f>
        <v>43958</v>
      </c>
      <c r="B339" s="29">
        <f>'Historical backend'!H343</f>
        <v>270</v>
      </c>
      <c r="C339" s="29">
        <f>_xlfn.XLOOKUP(A339,'Historical backend'!B:B,'Historical backend'!C:C,_xlfn.XLOOKUP(A340,'Historical backend'!B:B,'Historical backend'!C:C))</f>
        <v>1186</v>
      </c>
      <c r="D339" s="29">
        <f>_xlfn.XLOOKUP(A339,'Historical backend'!L:L,'Historical backend'!M:M)</f>
        <v>23425</v>
      </c>
      <c r="E339" s="29">
        <f t="shared" si="26"/>
        <v>1456</v>
      </c>
      <c r="F339" s="42">
        <f t="shared" si="27"/>
        <v>34106.800000000003</v>
      </c>
      <c r="G339" s="42">
        <f t="shared" si="28"/>
        <v>33404.050000000003</v>
      </c>
      <c r="H339" s="38">
        <f t="shared" si="29"/>
        <v>3056.3906083244397</v>
      </c>
      <c r="I339" s="42">
        <f t="shared" si="25"/>
        <v>-2797.112000000001</v>
      </c>
    </row>
    <row r="340" spans="1:9" x14ac:dyDescent="0.55000000000000004">
      <c r="A340" s="33">
        <f>'Historical backend'!G344</f>
        <v>43951</v>
      </c>
      <c r="B340" s="29">
        <f>'Historical backend'!H344</f>
        <v>270</v>
      </c>
      <c r="C340" s="29">
        <f>_xlfn.XLOOKUP(A340,'Historical backend'!B:B,'Historical backend'!C:C,_xlfn.XLOOKUP(A341,'Historical backend'!B:B,'Historical backend'!C:C))</f>
        <v>1194</v>
      </c>
      <c r="D340" s="29">
        <f>_xlfn.XLOOKUP(A340,'Historical backend'!L:L,'Historical backend'!M:M)</f>
        <v>23428</v>
      </c>
      <c r="E340" s="29">
        <f t="shared" si="26"/>
        <v>1464</v>
      </c>
      <c r="F340" s="42">
        <f t="shared" si="27"/>
        <v>34298.591999999997</v>
      </c>
      <c r="G340" s="42">
        <f t="shared" si="28"/>
        <v>33595.752</v>
      </c>
      <c r="H340" s="38">
        <f t="shared" si="29"/>
        <v>3047.8166296738941</v>
      </c>
      <c r="I340" s="42">
        <f t="shared" si="25"/>
        <v>-2874.476499999997</v>
      </c>
    </row>
    <row r="341" spans="1:9" x14ac:dyDescent="0.55000000000000004">
      <c r="A341" s="33">
        <f>'Historical backend'!G345</f>
        <v>43944</v>
      </c>
      <c r="B341" s="29">
        <f>'Historical backend'!H345</f>
        <v>270</v>
      </c>
      <c r="C341" s="29">
        <f>_xlfn.XLOOKUP(A341,'Historical backend'!B:B,'Historical backend'!C:C,_xlfn.XLOOKUP(A342,'Historical backend'!B:B,'Historical backend'!C:C))</f>
        <v>1150</v>
      </c>
      <c r="D341" s="29">
        <f>_xlfn.XLOOKUP(A341,'Historical backend'!L:L,'Historical backend'!M:M)</f>
        <v>23485</v>
      </c>
      <c r="E341" s="29">
        <f t="shared" si="26"/>
        <v>1420</v>
      </c>
      <c r="F341" s="42">
        <f t="shared" si="27"/>
        <v>33348.699999999997</v>
      </c>
      <c r="G341" s="42">
        <f t="shared" si="28"/>
        <v>32644.15</v>
      </c>
      <c r="H341" s="38">
        <f t="shared" si="29"/>
        <v>3080.9388971684057</v>
      </c>
      <c r="I341" s="42">
        <f t="shared" si="25"/>
        <v>-2934.3494999999966</v>
      </c>
    </row>
    <row r="342" spans="1:9" x14ac:dyDescent="0.55000000000000004">
      <c r="A342" s="33">
        <f>'Historical backend'!G346</f>
        <v>43937</v>
      </c>
      <c r="B342" s="29">
        <f>'Historical backend'!H346</f>
        <v>240</v>
      </c>
      <c r="C342" s="29">
        <f>_xlfn.XLOOKUP(A342,'Historical backend'!B:B,'Historical backend'!C:C,_xlfn.XLOOKUP(A343,'Historical backend'!B:B,'Historical backend'!C:C))</f>
        <v>1205</v>
      </c>
      <c r="D342" s="29">
        <f>_xlfn.XLOOKUP(A342,'Historical backend'!L:L,'Historical backend'!M:M)</f>
        <v>23440</v>
      </c>
      <c r="E342" s="29">
        <f t="shared" si="26"/>
        <v>1445</v>
      </c>
      <c r="F342" s="42">
        <f t="shared" si="27"/>
        <v>33870.800000000003</v>
      </c>
      <c r="G342" s="42">
        <f t="shared" si="28"/>
        <v>33167.599999999999</v>
      </c>
      <c r="H342" s="38">
        <f t="shared" si="29"/>
        <v>3064.522184300341</v>
      </c>
      <c r="I342" s="42">
        <f t="shared" si="25"/>
        <v>-2603.997000000003</v>
      </c>
    </row>
    <row r="343" spans="1:9" x14ac:dyDescent="0.55000000000000004">
      <c r="A343" s="33">
        <f>'Historical backend'!G347</f>
        <v>43930</v>
      </c>
      <c r="B343" s="29">
        <f>'Historical backend'!H347</f>
        <v>220</v>
      </c>
      <c r="C343" s="29">
        <f>_xlfn.XLOOKUP(A343,'Historical backend'!B:B,'Historical backend'!C:C,_xlfn.XLOOKUP(A344,'Historical backend'!B:B,'Historical backend'!C:C))</f>
        <v>1219</v>
      </c>
      <c r="D343" s="29">
        <f>_xlfn.XLOOKUP(A343,'Historical backend'!L:L,'Historical backend'!M:M)</f>
        <v>23488</v>
      </c>
      <c r="E343" s="29">
        <f t="shared" si="26"/>
        <v>1439</v>
      </c>
      <c r="F343" s="42">
        <f t="shared" si="27"/>
        <v>33799.232000000004</v>
      </c>
      <c r="G343" s="42">
        <f t="shared" si="28"/>
        <v>33094.591999999997</v>
      </c>
      <c r="H343" s="38">
        <f t="shared" si="29"/>
        <v>3061.367847411444</v>
      </c>
      <c r="I343" s="42">
        <f t="shared" si="25"/>
        <v>-2570.1960000000036</v>
      </c>
    </row>
    <row r="344" spans="1:9" x14ac:dyDescent="0.55000000000000004">
      <c r="A344" s="33">
        <f>'Historical backend'!G348</f>
        <v>43923</v>
      </c>
      <c r="B344" s="29">
        <f>'Historical backend'!H348</f>
        <v>210</v>
      </c>
      <c r="C344" s="29">
        <f>_xlfn.XLOOKUP(A344,'Historical backend'!B:B,'Historical backend'!C:C,_xlfn.XLOOKUP(A345,'Historical backend'!B:B,'Historical backend'!C:C))</f>
        <v>1234</v>
      </c>
      <c r="D344" s="29">
        <f>_xlfn.XLOOKUP(A344,'Historical backend'!L:L,'Historical backend'!M:M)</f>
        <v>23590</v>
      </c>
      <c r="E344" s="29">
        <f t="shared" si="26"/>
        <v>1444</v>
      </c>
      <c r="F344" s="42">
        <f t="shared" si="27"/>
        <v>34063.96</v>
      </c>
      <c r="G344" s="42">
        <f t="shared" si="28"/>
        <v>33356.26</v>
      </c>
      <c r="H344" s="38">
        <f t="shared" si="29"/>
        <v>3037.0385756676551</v>
      </c>
      <c r="I344" s="42">
        <f t="shared" si="25"/>
        <v>-2615.4177499999932</v>
      </c>
    </row>
    <row r="345" spans="1:9" x14ac:dyDescent="0.55000000000000004">
      <c r="A345" s="33">
        <f>'Historical backend'!G349</f>
        <v>43916</v>
      </c>
      <c r="B345" s="29">
        <f>'Historical backend'!H349</f>
        <v>190</v>
      </c>
      <c r="C345" s="29">
        <f>_xlfn.XLOOKUP(A345,'Historical backend'!B:B,'Historical backend'!C:C,_xlfn.XLOOKUP(A346,'Historical backend'!B:B,'Historical backend'!C:C))</f>
        <v>1278</v>
      </c>
      <c r="D345" s="29">
        <f>_xlfn.XLOOKUP(A345,'Historical backend'!L:L,'Historical backend'!M:M)</f>
        <v>23620</v>
      </c>
      <c r="E345" s="29">
        <f t="shared" si="26"/>
        <v>1468</v>
      </c>
      <c r="F345" s="42">
        <f t="shared" si="27"/>
        <v>34674.160000000003</v>
      </c>
      <c r="G345" s="42">
        <f t="shared" si="28"/>
        <v>33965.56</v>
      </c>
      <c r="H345" s="38">
        <f t="shared" si="29"/>
        <v>3007.3852667231163</v>
      </c>
      <c r="I345" s="42">
        <f t="shared" si="25"/>
        <v>-2633.6977499999994</v>
      </c>
    </row>
    <row r="346" spans="1:9" x14ac:dyDescent="0.55000000000000004">
      <c r="A346" s="33">
        <f>'Historical backend'!G350</f>
        <v>43909</v>
      </c>
      <c r="B346" s="29">
        <f>'Historical backend'!H350</f>
        <v>240</v>
      </c>
      <c r="C346" s="29">
        <f>_xlfn.XLOOKUP(A346,'Historical backend'!B:B,'Historical backend'!C:C,_xlfn.XLOOKUP(A347,'Historical backend'!B:B,'Historical backend'!C:C))</f>
        <v>1216</v>
      </c>
      <c r="D346" s="29">
        <f>_xlfn.XLOOKUP(A346,'Historical backend'!L:L,'Historical backend'!M:M)</f>
        <v>23354</v>
      </c>
      <c r="E346" s="29">
        <f t="shared" si="26"/>
        <v>1456</v>
      </c>
      <c r="F346" s="42">
        <f t="shared" si="27"/>
        <v>34003.423999999999</v>
      </c>
      <c r="G346" s="42">
        <f t="shared" si="28"/>
        <v>33302.803999999996</v>
      </c>
      <c r="H346" s="38">
        <f t="shared" si="29"/>
        <v>3070.0178127943818</v>
      </c>
      <c r="I346" s="42">
        <f t="shared" si="25"/>
        <v>-2706.3977500000037</v>
      </c>
    </row>
    <row r="347" spans="1:9" x14ac:dyDescent="0.55000000000000004">
      <c r="A347" s="33">
        <f>'Historical backend'!G351</f>
        <v>43902</v>
      </c>
      <c r="B347" s="29">
        <f>'Historical backend'!H351</f>
        <v>200</v>
      </c>
      <c r="C347" s="29">
        <f>_xlfn.XLOOKUP(A347,'Historical backend'!B:B,'Historical backend'!C:C,_xlfn.XLOOKUP(A348,'Historical backend'!B:B,'Historical backend'!C:C))</f>
        <v>1249</v>
      </c>
      <c r="D347" s="29">
        <f>_xlfn.XLOOKUP(A347,'Historical backend'!L:L,'Historical backend'!M:M)</f>
        <v>23195</v>
      </c>
      <c r="E347" s="29">
        <f t="shared" si="26"/>
        <v>1449</v>
      </c>
      <c r="F347" s="42">
        <f t="shared" si="27"/>
        <v>33609.555</v>
      </c>
      <c r="G347" s="42">
        <f t="shared" si="28"/>
        <v>32913.705000000002</v>
      </c>
      <c r="H347" s="38">
        <f t="shared" si="29"/>
        <v>3107.8376805345979</v>
      </c>
      <c r="I347" s="42">
        <f t="shared" si="25"/>
        <v>-2556.7677499999991</v>
      </c>
    </row>
    <row r="348" spans="1:9" x14ac:dyDescent="0.55000000000000004">
      <c r="A348" s="33">
        <f>'Historical backend'!G352</f>
        <v>43895</v>
      </c>
      <c r="B348" s="29">
        <f>'Historical backend'!H352</f>
        <v>190</v>
      </c>
      <c r="C348" s="29">
        <f>_xlfn.XLOOKUP(A348,'Historical backend'!B:B,'Historical backend'!C:C,_xlfn.XLOOKUP(A349,'Historical backend'!B:B,'Historical backend'!C:C))</f>
        <v>1274</v>
      </c>
      <c r="D348" s="29">
        <f>_xlfn.XLOOKUP(A348,'Historical backend'!L:L,'Historical backend'!M:M)</f>
        <v>23210</v>
      </c>
      <c r="E348" s="29">
        <f t="shared" si="26"/>
        <v>1464</v>
      </c>
      <c r="F348" s="42">
        <f t="shared" si="27"/>
        <v>33979.440000000002</v>
      </c>
      <c r="G348" s="42">
        <f t="shared" si="28"/>
        <v>33283.14</v>
      </c>
      <c r="H348" s="38">
        <f t="shared" si="29"/>
        <v>3089.9121068504955</v>
      </c>
      <c r="I348" s="42">
        <f t="shared" si="25"/>
        <v>-2239.0517499999987</v>
      </c>
    </row>
    <row r="349" spans="1:9" x14ac:dyDescent="0.55000000000000004">
      <c r="A349" s="33">
        <f>'Historical backend'!G353</f>
        <v>43888</v>
      </c>
      <c r="B349" s="29">
        <f>'Historical backend'!H353</f>
        <v>190</v>
      </c>
      <c r="C349" s="29">
        <f>_xlfn.XLOOKUP(A349,'Historical backend'!B:B,'Historical backend'!C:C,_xlfn.XLOOKUP(A350,'Historical backend'!B:B,'Historical backend'!C:C))</f>
        <v>1289</v>
      </c>
      <c r="D349" s="29">
        <f>_xlfn.XLOOKUP(A349,'Historical backend'!L:L,'Historical backend'!M:M)</f>
        <v>23240</v>
      </c>
      <c r="E349" s="29">
        <f t="shared" si="26"/>
        <v>1479</v>
      </c>
      <c r="F349" s="42">
        <f t="shared" si="27"/>
        <v>34371.96</v>
      </c>
      <c r="G349" s="42">
        <f t="shared" si="28"/>
        <v>33674.76</v>
      </c>
      <c r="H349" s="38">
        <f t="shared" si="29"/>
        <v>3069.0722891566261</v>
      </c>
      <c r="I349" s="42">
        <f t="shared" si="25"/>
        <v>-2217.6924999999974</v>
      </c>
    </row>
    <row r="350" spans="1:9" x14ac:dyDescent="0.55000000000000004">
      <c r="A350" s="33">
        <f>'Historical backend'!G354</f>
        <v>43881</v>
      </c>
      <c r="B350" s="29">
        <f>'Historical backend'!H354</f>
        <v>210</v>
      </c>
      <c r="C350" s="29">
        <f>_xlfn.XLOOKUP(A350,'Historical backend'!B:B,'Historical backend'!C:C,_xlfn.XLOOKUP(A351,'Historical backend'!B:B,'Historical backend'!C:C))</f>
        <v>1279</v>
      </c>
      <c r="D350" s="29">
        <f>_xlfn.XLOOKUP(A350,'Historical backend'!L:L,'Historical backend'!M:M)</f>
        <v>23236</v>
      </c>
      <c r="E350" s="29">
        <f t="shared" si="26"/>
        <v>1489</v>
      </c>
      <c r="F350" s="42">
        <f t="shared" si="27"/>
        <v>34598.404000000002</v>
      </c>
      <c r="G350" s="42">
        <f t="shared" si="28"/>
        <v>33901.324000000001</v>
      </c>
      <c r="H350" s="38">
        <f t="shared" si="29"/>
        <v>3059.8500602513345</v>
      </c>
      <c r="I350" s="42">
        <f t="shared" si="25"/>
        <v>-2148.7415000000037</v>
      </c>
    </row>
    <row r="351" spans="1:9" x14ac:dyDescent="0.55000000000000004">
      <c r="A351" s="33">
        <f>'Historical backend'!G355</f>
        <v>43874</v>
      </c>
      <c r="B351" s="29">
        <f>'Historical backend'!H355</f>
        <v>200</v>
      </c>
      <c r="C351" s="29">
        <f>_xlfn.XLOOKUP(A351,'Historical backend'!B:B,'Historical backend'!C:C,_xlfn.XLOOKUP(A352,'Historical backend'!B:B,'Historical backend'!C:C))</f>
        <v>1301</v>
      </c>
      <c r="D351" s="29">
        <f>_xlfn.XLOOKUP(A351,'Historical backend'!L:L,'Historical backend'!M:M)</f>
        <v>23239</v>
      </c>
      <c r="E351" s="29">
        <f t="shared" si="26"/>
        <v>1501</v>
      </c>
      <c r="F351" s="42">
        <f t="shared" si="27"/>
        <v>34881.739000000001</v>
      </c>
      <c r="G351" s="42">
        <f t="shared" si="28"/>
        <v>34184.569000000003</v>
      </c>
      <c r="H351" s="38">
        <f t="shared" si="29"/>
        <v>3047.266706829037</v>
      </c>
      <c r="I351" s="42">
        <f t="shared" si="25"/>
        <v>-1953.0742499999978</v>
      </c>
    </row>
    <row r="352" spans="1:9" x14ac:dyDescent="0.55000000000000004">
      <c r="A352" s="33">
        <f>'Historical backend'!G356</f>
        <v>43867</v>
      </c>
      <c r="B352" s="29">
        <f>'Historical backend'!H356</f>
        <v>170</v>
      </c>
      <c r="C352" s="29">
        <f>_xlfn.XLOOKUP(A352,'Historical backend'!B:B,'Historical backend'!C:C,_xlfn.XLOOKUP(A353,'Historical backend'!B:B,'Historical backend'!C:C))</f>
        <v>1297</v>
      </c>
      <c r="D352" s="29">
        <f>_xlfn.XLOOKUP(A352,'Historical backend'!L:L,'Historical backend'!M:M)</f>
        <v>23221</v>
      </c>
      <c r="E352" s="29">
        <f t="shared" si="26"/>
        <v>1467</v>
      </c>
      <c r="F352" s="42">
        <f t="shared" si="27"/>
        <v>34065.207000000002</v>
      </c>
      <c r="G352" s="42">
        <f t="shared" si="28"/>
        <v>33368.576999999997</v>
      </c>
      <c r="H352" s="38">
        <f t="shared" si="29"/>
        <v>3084.769088325223</v>
      </c>
      <c r="I352" s="42">
        <f t="shared" si="25"/>
        <v>-2308.2679999999964</v>
      </c>
    </row>
    <row r="353" spans="1:9" x14ac:dyDescent="0.55000000000000004">
      <c r="A353" s="33">
        <f>'Historical backend'!G357</f>
        <v>43861</v>
      </c>
      <c r="B353" s="29">
        <f>'Historical backend'!H357</f>
        <v>150</v>
      </c>
      <c r="C353" s="29">
        <f>_xlfn.XLOOKUP(A353,'Historical backend'!B:B,'Historical backend'!C:C,_xlfn.XLOOKUP(A354,'Historical backend'!B:B,'Historical backend'!C:C))</f>
        <v>1342</v>
      </c>
      <c r="D353" s="29">
        <f>_xlfn.XLOOKUP(A353,'Historical backend'!L:L,'Historical backend'!M:M)</f>
        <v>23222</v>
      </c>
      <c r="E353" s="29">
        <f t="shared" si="26"/>
        <v>1492</v>
      </c>
      <c r="F353" s="42">
        <f t="shared" si="27"/>
        <v>34647.224000000002</v>
      </c>
      <c r="G353" s="42">
        <f t="shared" si="28"/>
        <v>33950.563999999998</v>
      </c>
      <c r="H353" s="38">
        <f t="shared" si="29"/>
        <v>3059.5743691327189</v>
      </c>
      <c r="I353" s="42">
        <f t="shared" si="25"/>
        <v>-2319.71875</v>
      </c>
    </row>
    <row r="354" spans="1:9" x14ac:dyDescent="0.55000000000000004">
      <c r="A354" s="33">
        <f>'Historical backend'!G358</f>
        <v>43853</v>
      </c>
      <c r="B354" s="29">
        <f>'Historical backend'!H358</f>
        <v>160</v>
      </c>
      <c r="C354" s="29">
        <f>_xlfn.XLOOKUP(A354,'Historical backend'!B:B,'Historical backend'!C:C,_xlfn.XLOOKUP(A355,'Historical backend'!B:B,'Historical backend'!C:C))</f>
        <v>1367</v>
      </c>
      <c r="D354" s="29">
        <f>_xlfn.XLOOKUP(A354,'Historical backend'!L:L,'Historical backend'!M:M)</f>
        <v>23169</v>
      </c>
      <c r="E354" s="29">
        <f t="shared" si="26"/>
        <v>1527</v>
      </c>
      <c r="F354" s="42">
        <f t="shared" si="27"/>
        <v>35379.063000000002</v>
      </c>
      <c r="G354" s="42">
        <f t="shared" si="28"/>
        <v>34683.993000000002</v>
      </c>
      <c r="H354" s="38">
        <f t="shared" si="29"/>
        <v>3034.9176485821567</v>
      </c>
      <c r="I354" s="42">
        <f t="shared" si="25"/>
        <v>-2177.2797499999942</v>
      </c>
    </row>
    <row r="355" spans="1:9" x14ac:dyDescent="0.55000000000000004">
      <c r="A355" s="33">
        <f>'Historical backend'!G359</f>
        <v>43846</v>
      </c>
      <c r="B355" s="29">
        <f>'Historical backend'!H359</f>
        <v>130</v>
      </c>
      <c r="C355" s="29">
        <f>_xlfn.XLOOKUP(A355,'Historical backend'!B:B,'Historical backend'!C:C,_xlfn.XLOOKUP(A356,'Historical backend'!B:B,'Historical backend'!C:C))</f>
        <v>1314</v>
      </c>
      <c r="D355" s="29">
        <f>_xlfn.XLOOKUP(A355,'Historical backend'!L:L,'Historical backend'!M:M)</f>
        <v>23171</v>
      </c>
      <c r="E355" s="29">
        <f t="shared" si="26"/>
        <v>1444</v>
      </c>
      <c r="F355" s="42">
        <f t="shared" si="27"/>
        <v>33458.923999999999</v>
      </c>
      <c r="G355" s="42">
        <f t="shared" si="28"/>
        <v>32763.794000000002</v>
      </c>
      <c r="H355" s="38">
        <f t="shared" si="29"/>
        <v>3117.5264770618451</v>
      </c>
      <c r="I355" s="42">
        <f t="shared" si="25"/>
        <v>-2233.3435000000027</v>
      </c>
    </row>
    <row r="356" spans="1:9" x14ac:dyDescent="0.55000000000000004">
      <c r="A356" s="33">
        <f>'Historical backend'!G360</f>
        <v>43839</v>
      </c>
      <c r="B356" s="29">
        <f>'Historical backend'!H360</f>
        <v>130</v>
      </c>
      <c r="C356" s="29">
        <f>_xlfn.XLOOKUP(A356,'Historical backend'!B:B,'Historical backend'!C:C,_xlfn.XLOOKUP(A357,'Historical backend'!B:B,'Historical backend'!C:C))</f>
        <v>1338</v>
      </c>
      <c r="D356" s="29">
        <f>_xlfn.XLOOKUP(A356,'Historical backend'!L:L,'Historical backend'!M:M)</f>
        <v>23173</v>
      </c>
      <c r="E356" s="29">
        <f t="shared" si="26"/>
        <v>1468</v>
      </c>
      <c r="F356" s="42">
        <f t="shared" si="27"/>
        <v>34017.964</v>
      </c>
      <c r="G356" s="42">
        <f t="shared" si="28"/>
        <v>33322.773999999998</v>
      </c>
      <c r="H356" s="38">
        <f t="shared" si="29"/>
        <v>3093.1353730634792</v>
      </c>
      <c r="I356" s="42">
        <f t="shared" si="25"/>
        <v>-1811.2162499999977</v>
      </c>
    </row>
    <row r="357" spans="1:9" x14ac:dyDescent="0.55000000000000004">
      <c r="A357" s="33">
        <f>'Historical backend'!G361</f>
        <v>43832</v>
      </c>
      <c r="B357" s="29">
        <f>'Historical backend'!H361</f>
        <v>140</v>
      </c>
      <c r="C357" s="29">
        <f>_xlfn.XLOOKUP(A357,'Historical backend'!B:B,'Historical backend'!C:C,_xlfn.XLOOKUP(A358,'Historical backend'!B:B,'Historical backend'!C:C))</f>
        <v>1380</v>
      </c>
      <c r="D357" s="29">
        <f>_xlfn.XLOOKUP(A357,'Historical backend'!L:L,'Historical backend'!M:M)</f>
        <v>23168</v>
      </c>
      <c r="E357" s="29">
        <f t="shared" si="26"/>
        <v>1520</v>
      </c>
      <c r="F357" s="42">
        <f t="shared" si="27"/>
        <v>35215.360000000001</v>
      </c>
      <c r="G357" s="42">
        <f t="shared" si="28"/>
        <v>34520.32</v>
      </c>
      <c r="H357" s="38">
        <f t="shared" si="29"/>
        <v>3042.1132596685079</v>
      </c>
      <c r="I357" s="42">
        <f t="shared" si="25"/>
        <v>-1007.5315000000046</v>
      </c>
    </row>
    <row r="358" spans="1:9" x14ac:dyDescent="0.55000000000000004">
      <c r="A358" s="33">
        <f>'Historical backend'!G362</f>
        <v>43825</v>
      </c>
      <c r="B358" s="29">
        <f>'Historical backend'!H362</f>
        <v>150</v>
      </c>
      <c r="C358" s="29">
        <f>_xlfn.XLOOKUP(A358,'Historical backend'!B:B,'Historical backend'!C:C,_xlfn.XLOOKUP(A359,'Historical backend'!B:B,'Historical backend'!C:C))</f>
        <v>1367</v>
      </c>
      <c r="D358" s="29">
        <f>_xlfn.XLOOKUP(A358,'Historical backend'!L:L,'Historical backend'!M:M)</f>
        <v>23174</v>
      </c>
      <c r="E358" s="29">
        <f t="shared" si="26"/>
        <v>1517</v>
      </c>
      <c r="F358" s="42">
        <f t="shared" si="27"/>
        <v>35154.957999999999</v>
      </c>
      <c r="G358" s="42">
        <f t="shared" si="28"/>
        <v>34459.737999999998</v>
      </c>
      <c r="H358" s="38">
        <f t="shared" si="29"/>
        <v>3043.9398463795633</v>
      </c>
      <c r="I358" s="42">
        <f t="shared" si="25"/>
        <v>-770.44225000000006</v>
      </c>
    </row>
    <row r="359" spans="1:9" x14ac:dyDescent="0.55000000000000004">
      <c r="A359" s="33">
        <f>'Historical backend'!G363</f>
        <v>43818</v>
      </c>
      <c r="B359" s="29">
        <f>'Historical backend'!H363</f>
        <v>150</v>
      </c>
      <c r="C359" s="29">
        <f>_xlfn.XLOOKUP(A359,'Historical backend'!B:B,'Historical backend'!C:C,_xlfn.XLOOKUP(A360,'Historical backend'!B:B,'Historical backend'!C:C))</f>
        <v>1367</v>
      </c>
      <c r="D359" s="29">
        <f>_xlfn.XLOOKUP(A359,'Historical backend'!L:L,'Historical backend'!M:M)</f>
        <v>23169</v>
      </c>
      <c r="E359" s="29">
        <f t="shared" si="26"/>
        <v>1517</v>
      </c>
      <c r="F359" s="42">
        <f t="shared" si="27"/>
        <v>35147.373</v>
      </c>
      <c r="G359" s="42">
        <f t="shared" si="28"/>
        <v>34452.303</v>
      </c>
      <c r="H359" s="38">
        <f t="shared" si="29"/>
        <v>3044.9176485821572</v>
      </c>
      <c r="I359" s="42">
        <f t="shared" si="25"/>
        <v>-406.97675000000163</v>
      </c>
    </row>
    <row r="360" spans="1:9" x14ac:dyDescent="0.55000000000000004">
      <c r="A360" s="33">
        <f>'Historical backend'!G364</f>
        <v>43811</v>
      </c>
      <c r="B360" s="29">
        <f>'Historical backend'!H364</f>
        <v>160</v>
      </c>
      <c r="C360" s="29">
        <f>_xlfn.XLOOKUP(A360,'Historical backend'!B:B,'Historical backend'!C:C,_xlfn.XLOOKUP(A361,'Historical backend'!B:B,'Historical backend'!C:C))</f>
        <v>1447</v>
      </c>
      <c r="D360" s="29">
        <f>_xlfn.XLOOKUP(A360,'Historical backend'!L:L,'Historical backend'!M:M)</f>
        <v>23169</v>
      </c>
      <c r="E360" s="29">
        <f t="shared" si="26"/>
        <v>1607</v>
      </c>
      <c r="F360" s="42">
        <f t="shared" si="27"/>
        <v>37232.582999999999</v>
      </c>
      <c r="G360" s="42">
        <f t="shared" si="28"/>
        <v>36537.512999999999</v>
      </c>
      <c r="H360" s="38">
        <f t="shared" si="29"/>
        <v>2954.9176485821567</v>
      </c>
      <c r="I360" s="42">
        <f t="shared" si="25"/>
        <v>94.796500000004016</v>
      </c>
    </row>
    <row r="361" spans="1:9" x14ac:dyDescent="0.55000000000000004">
      <c r="A361" s="33">
        <f>'Historical backend'!G365</f>
        <v>43804</v>
      </c>
      <c r="B361" s="29">
        <f>'Historical backend'!H365</f>
        <v>160</v>
      </c>
      <c r="C361" s="29">
        <f>_xlfn.XLOOKUP(A361,'Historical backend'!B:B,'Historical backend'!C:C,_xlfn.XLOOKUP(A362,'Historical backend'!B:B,'Historical backend'!C:C))</f>
        <v>1401</v>
      </c>
      <c r="D361" s="29">
        <f>_xlfn.XLOOKUP(A361,'Historical backend'!L:L,'Historical backend'!M:M)</f>
        <v>23167</v>
      </c>
      <c r="E361" s="29">
        <f t="shared" si="26"/>
        <v>1561</v>
      </c>
      <c r="F361" s="42">
        <f t="shared" si="27"/>
        <v>36163.686999999998</v>
      </c>
      <c r="G361" s="42">
        <f t="shared" si="28"/>
        <v>35468.677000000003</v>
      </c>
      <c r="H361" s="38">
        <f t="shared" si="29"/>
        <v>3001.3088876419047</v>
      </c>
      <c r="I361" s="42">
        <f t="shared" si="25"/>
        <v>188.21825000000536</v>
      </c>
    </row>
    <row r="362" spans="1:9" x14ac:dyDescent="0.55000000000000004">
      <c r="A362" s="33">
        <f>'Historical backend'!G366</f>
        <v>43797</v>
      </c>
      <c r="B362" s="29">
        <f>'Historical backend'!H366</f>
        <v>180</v>
      </c>
      <c r="C362" s="29">
        <f>_xlfn.XLOOKUP(A362,'Historical backend'!B:B,'Historical backend'!C:C,_xlfn.XLOOKUP(A363,'Historical backend'!B:B,'Historical backend'!C:C))</f>
        <v>1398</v>
      </c>
      <c r="D362" s="29">
        <f>_xlfn.XLOOKUP(A362,'Historical backend'!L:L,'Historical backend'!M:M)</f>
        <v>23200</v>
      </c>
      <c r="E362" s="29">
        <f t="shared" si="26"/>
        <v>1578</v>
      </c>
      <c r="F362" s="42">
        <f t="shared" si="27"/>
        <v>36609.599999999999</v>
      </c>
      <c r="G362" s="42">
        <f t="shared" si="28"/>
        <v>35913.599999999999</v>
      </c>
      <c r="H362" s="38">
        <f t="shared" si="29"/>
        <v>2977.8620689655168</v>
      </c>
      <c r="I362" s="42">
        <f t="shared" si="25"/>
        <v>299.06199999999808</v>
      </c>
    </row>
    <row r="363" spans="1:9" x14ac:dyDescent="0.55000000000000004">
      <c r="A363" s="33">
        <f>'Historical backend'!G367</f>
        <v>43790</v>
      </c>
      <c r="B363" s="29">
        <f>'Historical backend'!H367</f>
        <v>200</v>
      </c>
      <c r="C363" s="29">
        <f>_xlfn.XLOOKUP(A363,'Historical backend'!B:B,'Historical backend'!C:C,_xlfn.XLOOKUP(A364,'Historical backend'!B:B,'Historical backend'!C:C))</f>
        <v>1402</v>
      </c>
      <c r="D363" s="29">
        <f>_xlfn.XLOOKUP(A363,'Historical backend'!L:L,'Historical backend'!M:M)</f>
        <v>23193</v>
      </c>
      <c r="E363" s="29">
        <f t="shared" si="26"/>
        <v>1602</v>
      </c>
      <c r="F363" s="42">
        <f t="shared" si="27"/>
        <v>37155.186000000002</v>
      </c>
      <c r="G363" s="42">
        <f t="shared" si="28"/>
        <v>36459.396000000001</v>
      </c>
      <c r="H363" s="38">
        <f t="shared" si="29"/>
        <v>2955.2280429439916</v>
      </c>
      <c r="I363" s="42">
        <f t="shared" si="25"/>
        <v>-24.992000000005646</v>
      </c>
    </row>
    <row r="364" spans="1:9" x14ac:dyDescent="0.55000000000000004">
      <c r="A364" s="33">
        <f>'Historical backend'!G368</f>
        <v>43783</v>
      </c>
      <c r="B364" s="29">
        <f>'Historical backend'!H368</f>
        <v>200</v>
      </c>
      <c r="C364" s="29">
        <f>_xlfn.XLOOKUP(A364,'Historical backend'!B:B,'Historical backend'!C:C,_xlfn.XLOOKUP(A365,'Historical backend'!B:B,'Historical backend'!C:C))</f>
        <v>1421</v>
      </c>
      <c r="D364" s="29">
        <f>_xlfn.XLOOKUP(A364,'Historical backend'!L:L,'Historical backend'!M:M)</f>
        <v>23200</v>
      </c>
      <c r="E364" s="29">
        <f t="shared" si="26"/>
        <v>1621</v>
      </c>
      <c r="F364" s="42">
        <f t="shared" si="27"/>
        <v>37607.199999999997</v>
      </c>
      <c r="G364" s="42">
        <f t="shared" si="28"/>
        <v>36911.199999999997</v>
      </c>
      <c r="H364" s="38">
        <f t="shared" si="29"/>
        <v>2934.8620689655172</v>
      </c>
      <c r="I364" s="42">
        <f t="shared" si="25"/>
        <v>-804.16324999999779</v>
      </c>
    </row>
    <row r="365" spans="1:9" x14ac:dyDescent="0.55000000000000004">
      <c r="A365" s="33">
        <f>'Historical backend'!G369</f>
        <v>43776</v>
      </c>
      <c r="B365" s="29">
        <f>'Historical backend'!H369</f>
        <v>200</v>
      </c>
      <c r="C365" s="29">
        <f>_xlfn.XLOOKUP(A365,'Historical backend'!B:B,'Historical backend'!C:C,_xlfn.XLOOKUP(A366,'Historical backend'!B:B,'Historical backend'!C:C))</f>
        <v>1378</v>
      </c>
      <c r="D365" s="29">
        <f>_xlfn.XLOOKUP(A365,'Historical backend'!L:L,'Historical backend'!M:M)</f>
        <v>23199</v>
      </c>
      <c r="E365" s="29">
        <f t="shared" si="26"/>
        <v>1578</v>
      </c>
      <c r="F365" s="42">
        <f t="shared" si="27"/>
        <v>36608.021999999997</v>
      </c>
      <c r="G365" s="42">
        <f t="shared" si="28"/>
        <v>35912.052000000003</v>
      </c>
      <c r="H365" s="38">
        <f t="shared" si="29"/>
        <v>2978.0571576361053</v>
      </c>
      <c r="I365" s="42">
        <f t="shared" si="25"/>
        <v>-1697.3632500000022</v>
      </c>
    </row>
    <row r="366" spans="1:9" x14ac:dyDescent="0.55000000000000004">
      <c r="A366" s="33">
        <f>'Historical backend'!G370</f>
        <v>43769</v>
      </c>
      <c r="B366" s="29">
        <f>'Historical backend'!H370</f>
        <v>200</v>
      </c>
      <c r="C366" s="29">
        <f>_xlfn.XLOOKUP(A366,'Historical backend'!B:B,'Historical backend'!C:C,_xlfn.XLOOKUP(A367,'Historical backend'!B:B,'Historical backend'!C:C))</f>
        <v>1322</v>
      </c>
      <c r="D366" s="29">
        <f>_xlfn.XLOOKUP(A366,'Historical backend'!L:L,'Historical backend'!M:M)</f>
        <v>23202</v>
      </c>
      <c r="E366" s="29">
        <f t="shared" si="26"/>
        <v>1522</v>
      </c>
      <c r="F366" s="42">
        <f t="shared" si="27"/>
        <v>35313.444000000003</v>
      </c>
      <c r="G366" s="42">
        <f t="shared" si="28"/>
        <v>34617.383999999998</v>
      </c>
      <c r="H366" s="38">
        <f t="shared" si="29"/>
        <v>3033.4719420739593</v>
      </c>
      <c r="I366" s="42">
        <f t="shared" si="25"/>
        <v>-2085.5762499999983</v>
      </c>
    </row>
    <row r="367" spans="1:9" x14ac:dyDescent="0.55000000000000004">
      <c r="A367" s="33">
        <f>'Historical backend'!G371</f>
        <v>43762</v>
      </c>
      <c r="B367" s="29">
        <f>'Historical backend'!H371</f>
        <v>230</v>
      </c>
      <c r="C367" s="29">
        <f>_xlfn.XLOOKUP(A367,'Historical backend'!B:B,'Historical backend'!C:C,_xlfn.XLOOKUP(A368,'Historical backend'!B:B,'Historical backend'!C:C))</f>
        <v>1237</v>
      </c>
      <c r="D367" s="29">
        <f>_xlfn.XLOOKUP(A367,'Historical backend'!L:L,'Historical backend'!M:M)</f>
        <v>23203</v>
      </c>
      <c r="E367" s="29">
        <f t="shared" si="26"/>
        <v>1467</v>
      </c>
      <c r="F367" s="42">
        <f t="shared" si="27"/>
        <v>34038.800999999999</v>
      </c>
      <c r="G367" s="42">
        <f t="shared" si="28"/>
        <v>33342.711000000003</v>
      </c>
      <c r="H367" s="38">
        <f t="shared" si="29"/>
        <v>3088.2769038486399</v>
      </c>
      <c r="I367" s="42">
        <f t="shared" si="25"/>
        <v>-1854.3222499999974</v>
      </c>
    </row>
    <row r="368" spans="1:9" x14ac:dyDescent="0.55000000000000004">
      <c r="A368" s="33">
        <f>'Historical backend'!G372</f>
        <v>43748</v>
      </c>
      <c r="B368" s="29">
        <f>'Historical backend'!H372</f>
        <v>190</v>
      </c>
      <c r="C368" s="29">
        <f>_xlfn.XLOOKUP(A368,'Historical backend'!B:B,'Historical backend'!C:C,_xlfn.XLOOKUP(A369,'Historical backend'!B:B,'Historical backend'!C:C))</f>
        <v>1277</v>
      </c>
      <c r="D368" s="29">
        <f>_xlfn.XLOOKUP(A368,'Historical backend'!L:L,'Historical backend'!M:M)</f>
        <v>23200</v>
      </c>
      <c r="E368" s="29">
        <f t="shared" si="26"/>
        <v>1467</v>
      </c>
      <c r="F368" s="42">
        <f t="shared" si="27"/>
        <v>34034.400000000001</v>
      </c>
      <c r="G368" s="42">
        <f t="shared" si="28"/>
        <v>33338.400000000001</v>
      </c>
      <c r="H368" s="38">
        <f t="shared" si="29"/>
        <v>3088.8620689655177</v>
      </c>
      <c r="I368" s="42">
        <f t="shared" si="25"/>
        <v>-1369.8199999999997</v>
      </c>
    </row>
    <row r="369" spans="1:9" x14ac:dyDescent="0.55000000000000004">
      <c r="A369" s="33">
        <f>'Historical backend'!G373</f>
        <v>43741</v>
      </c>
      <c r="B369" s="29">
        <f>'Historical backend'!H373</f>
        <v>180</v>
      </c>
      <c r="C369" s="29">
        <f>_xlfn.XLOOKUP(A369,'Historical backend'!B:B,'Historical backend'!C:C,_xlfn.XLOOKUP(A370,'Historical backend'!B:B,'Historical backend'!C:C))</f>
        <v>1331</v>
      </c>
      <c r="D369" s="29">
        <f>_xlfn.XLOOKUP(A369,'Historical backend'!L:L,'Historical backend'!M:M)</f>
        <v>23200</v>
      </c>
      <c r="E369" s="29">
        <f t="shared" si="26"/>
        <v>1511</v>
      </c>
      <c r="F369" s="42">
        <f t="shared" si="27"/>
        <v>35055.199999999997</v>
      </c>
      <c r="G369" s="42">
        <f t="shared" si="28"/>
        <v>34359.199999999997</v>
      </c>
      <c r="H369" s="38">
        <f t="shared" si="29"/>
        <v>3044.8620689655177</v>
      </c>
      <c r="I369" s="42">
        <f t="shared" si="25"/>
        <v>-822.70624999999563</v>
      </c>
    </row>
    <row r="370" spans="1:9" x14ac:dyDescent="0.55000000000000004">
      <c r="A370" s="33">
        <f>'Historical backend'!G374</f>
        <v>43734</v>
      </c>
      <c r="B370" s="29">
        <f>'Historical backend'!H374</f>
        <v>230</v>
      </c>
      <c r="C370" s="29">
        <f>_xlfn.XLOOKUP(A370,'Historical backend'!B:B,'Historical backend'!C:C,_xlfn.XLOOKUP(A371,'Historical backend'!B:B,'Historical backend'!C:C))</f>
        <v>1332</v>
      </c>
      <c r="D370" s="29">
        <f>_xlfn.XLOOKUP(A370,'Historical backend'!L:L,'Historical backend'!M:M)</f>
        <v>23200</v>
      </c>
      <c r="E370" s="29">
        <f t="shared" si="26"/>
        <v>1562</v>
      </c>
      <c r="F370" s="42">
        <f t="shared" si="27"/>
        <v>36238.400000000001</v>
      </c>
      <c r="G370" s="42">
        <f t="shared" si="28"/>
        <v>35542.400000000001</v>
      </c>
      <c r="H370" s="38">
        <f t="shared" si="29"/>
        <v>2993.8620689655172</v>
      </c>
      <c r="I370" s="42">
        <f t="shared" si="25"/>
        <v>-875.64224999999715</v>
      </c>
    </row>
    <row r="371" spans="1:9" x14ac:dyDescent="0.55000000000000004">
      <c r="A371" s="33">
        <f>'Historical backend'!G375</f>
        <v>43727</v>
      </c>
      <c r="B371" s="29">
        <f>'Historical backend'!H375</f>
        <v>250</v>
      </c>
      <c r="C371" s="29">
        <f>_xlfn.XLOOKUP(A371,'Historical backend'!B:B,'Historical backend'!C:C,_xlfn.XLOOKUP(A372,'Historical backend'!B:B,'Historical backend'!C:C))</f>
        <v>1300</v>
      </c>
      <c r="D371" s="29">
        <f>_xlfn.XLOOKUP(A371,'Historical backend'!L:L,'Historical backend'!M:M)</f>
        <v>23211</v>
      </c>
      <c r="E371" s="29">
        <f t="shared" si="26"/>
        <v>1550</v>
      </c>
      <c r="F371" s="42">
        <f t="shared" si="27"/>
        <v>35977.050000000003</v>
      </c>
      <c r="G371" s="42">
        <f t="shared" si="28"/>
        <v>35280.720000000001</v>
      </c>
      <c r="H371" s="38">
        <f t="shared" si="29"/>
        <v>3003.7172030502779</v>
      </c>
      <c r="I371" s="42">
        <f t="shared" si="25"/>
        <v>-763.11574999999721</v>
      </c>
    </row>
    <row r="372" spans="1:9" x14ac:dyDescent="0.55000000000000004">
      <c r="A372" s="33">
        <f>'Historical backend'!G376</f>
        <v>43720</v>
      </c>
      <c r="B372" s="29">
        <f>'Historical backend'!H376</f>
        <v>230</v>
      </c>
      <c r="C372" s="29">
        <f>_xlfn.XLOOKUP(A372,'Historical backend'!B:B,'Historical backend'!C:C,_xlfn.XLOOKUP(A373,'Historical backend'!B:B,'Historical backend'!C:C))</f>
        <v>1331</v>
      </c>
      <c r="D372" s="29">
        <f>_xlfn.XLOOKUP(A372,'Historical backend'!L:L,'Historical backend'!M:M)</f>
        <v>23205</v>
      </c>
      <c r="E372" s="29">
        <f t="shared" si="26"/>
        <v>1561</v>
      </c>
      <c r="F372" s="42">
        <f t="shared" si="27"/>
        <v>36223.004999999997</v>
      </c>
      <c r="G372" s="42">
        <f t="shared" si="28"/>
        <v>35526.855000000003</v>
      </c>
      <c r="H372" s="38">
        <f t="shared" si="29"/>
        <v>2993.8868778280535</v>
      </c>
      <c r="I372" s="42">
        <f t="shared" si="25"/>
        <v>-604.89574999999604</v>
      </c>
    </row>
    <row r="373" spans="1:9" x14ac:dyDescent="0.55000000000000004">
      <c r="A373" s="33">
        <f>'Historical backend'!G377</f>
        <v>43713</v>
      </c>
      <c r="B373" s="29">
        <f>'Historical backend'!H377</f>
        <v>230</v>
      </c>
      <c r="C373" s="29">
        <f>_xlfn.XLOOKUP(A373,'Historical backend'!B:B,'Historical backend'!C:C,_xlfn.XLOOKUP(A374,'Historical backend'!B:B,'Historical backend'!C:C))</f>
        <v>1272</v>
      </c>
      <c r="D373" s="29">
        <f>_xlfn.XLOOKUP(A373,'Historical backend'!L:L,'Historical backend'!M:M)</f>
        <v>23198</v>
      </c>
      <c r="E373" s="29">
        <f t="shared" si="26"/>
        <v>1502</v>
      </c>
      <c r="F373" s="42">
        <f t="shared" si="27"/>
        <v>34843.396000000001</v>
      </c>
      <c r="G373" s="42">
        <f t="shared" si="28"/>
        <v>34147.455999999998</v>
      </c>
      <c r="H373" s="38">
        <f t="shared" si="29"/>
        <v>3054.2522631261313</v>
      </c>
      <c r="I373" s="42">
        <f t="shared" si="25"/>
        <v>-558.51949999999488</v>
      </c>
    </row>
    <row r="374" spans="1:9" x14ac:dyDescent="0.55000000000000004">
      <c r="A374" s="33">
        <f>'Historical backend'!G378</f>
        <v>43705</v>
      </c>
      <c r="B374" s="29">
        <f>'Historical backend'!H378</f>
        <v>230</v>
      </c>
      <c r="C374" s="29">
        <f>_xlfn.XLOOKUP(A374,'Historical backend'!B:B,'Historical backend'!C:C,_xlfn.XLOOKUP(A375,'Historical backend'!B:B,'Historical backend'!C:C))</f>
        <v>1351</v>
      </c>
      <c r="D374" s="29">
        <f>_xlfn.XLOOKUP(A374,'Historical backend'!L:L,'Historical backend'!M:M)</f>
        <v>23206</v>
      </c>
      <c r="E374" s="29">
        <f t="shared" si="26"/>
        <v>1581</v>
      </c>
      <c r="F374" s="42">
        <f t="shared" si="27"/>
        <v>36688.686000000002</v>
      </c>
      <c r="G374" s="42">
        <f t="shared" si="28"/>
        <v>35992.506000000001</v>
      </c>
      <c r="H374" s="38">
        <f t="shared" si="29"/>
        <v>2973.6918900284413</v>
      </c>
      <c r="I374" s="42">
        <f t="shared" si="25"/>
        <v>-424.38349999999627</v>
      </c>
    </row>
    <row r="375" spans="1:9" x14ac:dyDescent="0.55000000000000004">
      <c r="A375" s="33">
        <f>'Historical backend'!G379</f>
        <v>43691</v>
      </c>
      <c r="B375" s="29">
        <f>'Historical backend'!H379</f>
        <v>240</v>
      </c>
      <c r="C375" s="29">
        <f>_xlfn.XLOOKUP(A375,'Historical backend'!B:B,'Historical backend'!C:C,_xlfn.XLOOKUP(A376,'Historical backend'!B:B,'Historical backend'!C:C))</f>
        <v>1338</v>
      </c>
      <c r="D375" s="29">
        <f>_xlfn.XLOOKUP(A375,'Historical backend'!L:L,'Historical backend'!M:M)</f>
        <v>23200</v>
      </c>
      <c r="E375" s="29">
        <f t="shared" si="26"/>
        <v>1578</v>
      </c>
      <c r="F375" s="42">
        <f t="shared" si="27"/>
        <v>36609.599999999999</v>
      </c>
      <c r="G375" s="42">
        <f t="shared" si="28"/>
        <v>35913.599999999999</v>
      </c>
      <c r="H375" s="38">
        <f t="shared" si="29"/>
        <v>2977.8620689655168</v>
      </c>
      <c r="I375" s="42">
        <f t="shared" si="25"/>
        <v>-730.73950000000332</v>
      </c>
    </row>
    <row r="376" spans="1:9" x14ac:dyDescent="0.55000000000000004">
      <c r="A376" s="33">
        <f>'Historical backend'!G380</f>
        <v>43685</v>
      </c>
      <c r="B376" s="29">
        <f>'Historical backend'!H380</f>
        <v>230</v>
      </c>
      <c r="C376" s="29">
        <f>_xlfn.XLOOKUP(A376,'Historical backend'!B:B,'Historical backend'!C:C,_xlfn.XLOOKUP(A377,'Historical backend'!B:B,'Historical backend'!C:C))</f>
        <v>1338</v>
      </c>
      <c r="D376" s="29">
        <f>_xlfn.XLOOKUP(A376,'Historical backend'!L:L,'Historical backend'!M:M)</f>
        <v>23220</v>
      </c>
      <c r="E376" s="29">
        <f t="shared" si="26"/>
        <v>1568</v>
      </c>
      <c r="F376" s="42">
        <f t="shared" si="27"/>
        <v>36408.959999999999</v>
      </c>
      <c r="G376" s="42">
        <f t="shared" si="28"/>
        <v>35712.36</v>
      </c>
      <c r="H376" s="38">
        <f t="shared" si="29"/>
        <v>2983.9638242894057</v>
      </c>
      <c r="I376" s="42">
        <f t="shared" si="25"/>
        <v>-615.05499999999302</v>
      </c>
    </row>
    <row r="377" spans="1:9" x14ac:dyDescent="0.55000000000000004">
      <c r="A377" s="33">
        <f>'Historical backend'!G381</f>
        <v>43678</v>
      </c>
      <c r="B377" s="29">
        <f>'Historical backend'!H381</f>
        <v>190</v>
      </c>
      <c r="C377" s="29">
        <f>_xlfn.XLOOKUP(A377,'Historical backend'!B:B,'Historical backend'!C:C,_xlfn.XLOOKUP(A378,'Historical backend'!B:B,'Historical backend'!C:C))</f>
        <v>1335</v>
      </c>
      <c r="D377" s="29">
        <f>_xlfn.XLOOKUP(A377,'Historical backend'!L:L,'Historical backend'!M:M)</f>
        <v>23200</v>
      </c>
      <c r="E377" s="29">
        <f t="shared" si="26"/>
        <v>1525</v>
      </c>
      <c r="F377" s="42">
        <f t="shared" si="27"/>
        <v>35380</v>
      </c>
      <c r="G377" s="42">
        <f t="shared" si="28"/>
        <v>34684</v>
      </c>
      <c r="H377" s="38">
        <f t="shared" si="29"/>
        <v>3030.8620689655172</v>
      </c>
      <c r="I377" s="42">
        <f t="shared" si="25"/>
        <v>-454.54499999999825</v>
      </c>
    </row>
    <row r="378" spans="1:9" x14ac:dyDescent="0.55000000000000004">
      <c r="A378" s="33">
        <f>'Historical backend'!G382</f>
        <v>43671</v>
      </c>
      <c r="B378" s="29">
        <f>'Historical backend'!H382</f>
        <v>170</v>
      </c>
      <c r="C378" s="29">
        <f>_xlfn.XLOOKUP(A378,'Historical backend'!B:B,'Historical backend'!C:C,_xlfn.XLOOKUP(A379,'Historical backend'!B:B,'Historical backend'!C:C))</f>
        <v>1358</v>
      </c>
      <c r="D378" s="29">
        <f>_xlfn.XLOOKUP(A378,'Historical backend'!L:L,'Historical backend'!M:M)</f>
        <v>23209</v>
      </c>
      <c r="E378" s="29">
        <f t="shared" si="26"/>
        <v>1528</v>
      </c>
      <c r="F378" s="42">
        <f t="shared" si="27"/>
        <v>35463.351999999999</v>
      </c>
      <c r="G378" s="42">
        <f t="shared" si="28"/>
        <v>34767.082000000002</v>
      </c>
      <c r="H378" s="38">
        <f t="shared" si="29"/>
        <v>3026.1070274462495</v>
      </c>
      <c r="I378" s="42">
        <f t="shared" si="25"/>
        <v>251.79499999999825</v>
      </c>
    </row>
    <row r="379" spans="1:9" x14ac:dyDescent="0.55000000000000004">
      <c r="A379" s="33">
        <f>'Historical backend'!G383</f>
        <v>43664</v>
      </c>
      <c r="B379" s="29">
        <f>'Historical backend'!H383</f>
        <v>170</v>
      </c>
      <c r="C379" s="29">
        <f>_xlfn.XLOOKUP(A379,'Historical backend'!B:B,'Historical backend'!C:C,_xlfn.XLOOKUP(A380,'Historical backend'!B:B,'Historical backend'!C:C))</f>
        <v>1427</v>
      </c>
      <c r="D379" s="29">
        <f>_xlfn.XLOOKUP(A379,'Historical backend'!L:L,'Historical backend'!M:M)</f>
        <v>23214</v>
      </c>
      <c r="E379" s="29">
        <f t="shared" si="26"/>
        <v>1597</v>
      </c>
      <c r="F379" s="42">
        <f t="shared" si="27"/>
        <v>37072.758000000002</v>
      </c>
      <c r="G379" s="42">
        <f t="shared" si="28"/>
        <v>36376.338000000003</v>
      </c>
      <c r="H379" s="38">
        <f t="shared" si="29"/>
        <v>2956.1325924011371</v>
      </c>
      <c r="I379" s="42">
        <f t="shared" si="25"/>
        <v>709.19950000000244</v>
      </c>
    </row>
    <row r="380" spans="1:9" x14ac:dyDescent="0.55000000000000004">
      <c r="A380" s="33">
        <f>'Historical backend'!G384</f>
        <v>43657</v>
      </c>
      <c r="B380" s="29">
        <f>'Historical backend'!H384</f>
        <v>170</v>
      </c>
      <c r="C380" s="29">
        <f>_xlfn.XLOOKUP(A380,'Historical backend'!B:B,'Historical backend'!C:C,_xlfn.XLOOKUP(A381,'Historical backend'!B:B,'Historical backend'!C:C))</f>
        <v>1427</v>
      </c>
      <c r="D380" s="29">
        <f>_xlfn.XLOOKUP(A380,'Historical backend'!L:L,'Historical backend'!M:M)</f>
        <v>23200</v>
      </c>
      <c r="E380" s="29">
        <f t="shared" si="26"/>
        <v>1597</v>
      </c>
      <c r="F380" s="42">
        <f t="shared" si="27"/>
        <v>37050.400000000001</v>
      </c>
      <c r="G380" s="42">
        <f t="shared" si="28"/>
        <v>36354.400000000001</v>
      </c>
      <c r="H380" s="38">
        <f t="shared" si="29"/>
        <v>2958.8620689655177</v>
      </c>
      <c r="I380" s="42">
        <f t="shared" si="25"/>
        <v>577.86624999999913</v>
      </c>
    </row>
    <row r="381" spans="1:9" x14ac:dyDescent="0.55000000000000004">
      <c r="A381" s="33">
        <f>'Historical backend'!G385</f>
        <v>43650</v>
      </c>
      <c r="B381" s="29">
        <f>'Historical backend'!H385</f>
        <v>170</v>
      </c>
      <c r="C381" s="29">
        <f>_xlfn.XLOOKUP(A381,'Historical backend'!B:B,'Historical backend'!C:C,_xlfn.XLOOKUP(A382,'Historical backend'!B:B,'Historical backend'!C:C))</f>
        <v>1474</v>
      </c>
      <c r="D381" s="29">
        <f>_xlfn.XLOOKUP(A381,'Historical backend'!L:L,'Historical backend'!M:M)</f>
        <v>23240</v>
      </c>
      <c r="E381" s="29">
        <f t="shared" si="26"/>
        <v>1644</v>
      </c>
      <c r="F381" s="42">
        <f t="shared" si="27"/>
        <v>38206.559999999998</v>
      </c>
      <c r="G381" s="42">
        <f t="shared" si="28"/>
        <v>37509.360000000001</v>
      </c>
      <c r="H381" s="38">
        <f t="shared" si="29"/>
        <v>2904.0722891566265</v>
      </c>
      <c r="I381" s="42">
        <f t="shared" si="25"/>
        <v>294.26875000000291</v>
      </c>
    </row>
    <row r="382" spans="1:9" x14ac:dyDescent="0.55000000000000004">
      <c r="A382" s="33">
        <f>'Historical backend'!G386</f>
        <v>43643</v>
      </c>
      <c r="B382" s="29">
        <f>'Historical backend'!H386</f>
        <v>170</v>
      </c>
      <c r="C382" s="29">
        <f>_xlfn.XLOOKUP(A382,'Historical backend'!B:B,'Historical backend'!C:C,_xlfn.XLOOKUP(A383,'Historical backend'!B:B,'Historical backend'!C:C))</f>
        <v>1430</v>
      </c>
      <c r="D382" s="29">
        <f>_xlfn.XLOOKUP(A382,'Historical backend'!L:L,'Historical backend'!M:M)</f>
        <v>23310</v>
      </c>
      <c r="E382" s="29">
        <f t="shared" si="26"/>
        <v>1600</v>
      </c>
      <c r="F382" s="42">
        <f t="shared" si="27"/>
        <v>37296</v>
      </c>
      <c r="G382" s="42">
        <f t="shared" si="28"/>
        <v>36596.699999999997</v>
      </c>
      <c r="H382" s="38">
        <f t="shared" si="29"/>
        <v>2934.5045045045049</v>
      </c>
      <c r="I382" s="42">
        <f t="shared" si="25"/>
        <v>-422.85124999999971</v>
      </c>
    </row>
    <row r="383" spans="1:9" x14ac:dyDescent="0.55000000000000004">
      <c r="A383" s="33">
        <f>'Historical backend'!G387</f>
        <v>43636</v>
      </c>
      <c r="B383" s="29">
        <f>'Historical backend'!H387</f>
        <v>150</v>
      </c>
      <c r="C383" s="29">
        <f>_xlfn.XLOOKUP(A383,'Historical backend'!B:B,'Historical backend'!C:C,_xlfn.XLOOKUP(A384,'Historical backend'!B:B,'Historical backend'!C:C))</f>
        <v>1419</v>
      </c>
      <c r="D383" s="29">
        <f>_xlfn.XLOOKUP(A383,'Historical backend'!L:L,'Historical backend'!M:M)</f>
        <v>23295</v>
      </c>
      <c r="E383" s="29">
        <f t="shared" si="26"/>
        <v>1569</v>
      </c>
      <c r="F383" s="42">
        <f t="shared" si="27"/>
        <v>36549.855000000003</v>
      </c>
      <c r="G383" s="42">
        <f t="shared" si="28"/>
        <v>35851.004999999997</v>
      </c>
      <c r="H383" s="38">
        <f t="shared" si="29"/>
        <v>2968.4050225370247</v>
      </c>
      <c r="I383" s="42">
        <f t="shared" si="25"/>
        <v>-1275.133249999999</v>
      </c>
    </row>
    <row r="384" spans="1:9" x14ac:dyDescent="0.55000000000000004">
      <c r="A384" s="33">
        <f>'Historical backend'!G388</f>
        <v>43622</v>
      </c>
      <c r="B384" s="29">
        <f>'Historical backend'!H388</f>
        <v>80</v>
      </c>
      <c r="C384" s="29">
        <f>_xlfn.XLOOKUP(A384,'Historical backend'!B:B,'Historical backend'!C:C,_xlfn.XLOOKUP(A385,'Historical backend'!B:B,'Historical backend'!C:C))</f>
        <v>1455</v>
      </c>
      <c r="D384" s="29">
        <f>_xlfn.XLOOKUP(A384,'Historical backend'!L:L,'Historical backend'!M:M)</f>
        <v>23402</v>
      </c>
      <c r="E384" s="29">
        <f t="shared" si="26"/>
        <v>1535</v>
      </c>
      <c r="F384" s="42">
        <f t="shared" si="27"/>
        <v>35922.07</v>
      </c>
      <c r="G384" s="42">
        <f t="shared" si="28"/>
        <v>35220.01</v>
      </c>
      <c r="H384" s="38">
        <f t="shared" si="29"/>
        <v>2981.7960003418507</v>
      </c>
      <c r="I384" s="42">
        <f t="shared" si="25"/>
        <v>-2189.924500000001</v>
      </c>
    </row>
    <row r="385" spans="1:9" x14ac:dyDescent="0.55000000000000004">
      <c r="A385" s="33">
        <f>'Historical backend'!G389</f>
        <v>43614</v>
      </c>
      <c r="B385" s="29">
        <f>'Historical backend'!H389</f>
        <v>80</v>
      </c>
      <c r="C385" s="29">
        <f>_xlfn.XLOOKUP(A385,'Historical backend'!B:B,'Historical backend'!C:C,_xlfn.XLOOKUP(A386,'Historical backend'!B:B,'Historical backend'!C:C))</f>
        <v>1430</v>
      </c>
      <c r="D385" s="29">
        <f>_xlfn.XLOOKUP(A385,'Historical backend'!L:L,'Historical backend'!M:M)</f>
        <v>23406</v>
      </c>
      <c r="E385" s="29">
        <f t="shared" si="26"/>
        <v>1510</v>
      </c>
      <c r="F385" s="42">
        <f t="shared" si="27"/>
        <v>35343.06</v>
      </c>
      <c r="G385" s="42">
        <f t="shared" si="28"/>
        <v>34640.879999999997</v>
      </c>
      <c r="H385" s="38">
        <f t="shared" si="29"/>
        <v>3006.0292232760826</v>
      </c>
      <c r="I385" s="42">
        <f t="shared" si="25"/>
        <v>-2811.6395000000048</v>
      </c>
    </row>
    <row r="386" spans="1:9" x14ac:dyDescent="0.55000000000000004">
      <c r="A386" s="33">
        <f>'Historical backend'!G390</f>
        <v>43608</v>
      </c>
      <c r="B386" s="29">
        <f>'Historical backend'!H390</f>
        <v>80</v>
      </c>
      <c r="C386" s="29">
        <f>_xlfn.XLOOKUP(A386,'Historical backend'!B:B,'Historical backend'!C:C,_xlfn.XLOOKUP(A387,'Historical backend'!B:B,'Historical backend'!C:C))</f>
        <v>1369</v>
      </c>
      <c r="D386" s="29">
        <f>_xlfn.XLOOKUP(A386,'Historical backend'!L:L,'Historical backend'!M:M)</f>
        <v>23388</v>
      </c>
      <c r="E386" s="29">
        <f t="shared" si="26"/>
        <v>1449</v>
      </c>
      <c r="F386" s="42">
        <f t="shared" si="27"/>
        <v>33889.212</v>
      </c>
      <c r="G386" s="42">
        <f t="shared" si="28"/>
        <v>33187.572</v>
      </c>
      <c r="H386" s="38">
        <f t="shared" si="29"/>
        <v>3070.4817855310416</v>
      </c>
      <c r="I386" s="42">
        <f t="shared" ref="I386:I395" si="30">AVERAGE(G386:G389)-$R$6</f>
        <v>-3141.9824999999983</v>
      </c>
    </row>
    <row r="387" spans="1:9" x14ac:dyDescent="0.55000000000000004">
      <c r="A387" s="33">
        <f>'Historical backend'!G391</f>
        <v>43587</v>
      </c>
      <c r="B387" s="29">
        <f>'Historical backend'!H391</f>
        <v>50</v>
      </c>
      <c r="C387" s="29">
        <f>_xlfn.XLOOKUP(A387,'Historical backend'!B:B,'Historical backend'!C:C,_xlfn.XLOOKUP(A388,'Historical backend'!B:B,'Historical backend'!C:C))</f>
        <v>1364</v>
      </c>
      <c r="D387" s="29">
        <f>_xlfn.XLOOKUP(A387,'Historical backend'!L:L,'Historical backend'!M:M)</f>
        <v>23260</v>
      </c>
      <c r="E387" s="29">
        <f t="shared" ref="E387:E395" si="31">C387+B387</f>
        <v>1414</v>
      </c>
      <c r="F387" s="42">
        <f t="shared" ref="F387:F395" si="32">E387*D387/1000</f>
        <v>32889.64</v>
      </c>
      <c r="G387" s="42">
        <f t="shared" ref="G387:G395" si="33">(E387-$R$2)*D387/1000</f>
        <v>32191.84</v>
      </c>
      <c r="H387" s="38">
        <f t="shared" ref="H387:H395" si="34">($R$4-G387)/D387*1000</f>
        <v>3130.1874462596734</v>
      </c>
      <c r="I387" s="42">
        <f t="shared" si="30"/>
        <v>-3082.5164999999979</v>
      </c>
    </row>
    <row r="388" spans="1:9" x14ac:dyDescent="0.55000000000000004">
      <c r="A388" s="33">
        <f>'Historical backend'!G392</f>
        <v>43580</v>
      </c>
      <c r="B388" s="29">
        <f>'Historical backend'!H392</f>
        <v>50</v>
      </c>
      <c r="C388" s="29">
        <f>_xlfn.XLOOKUP(A388,'Historical backend'!B:B,'Historical backend'!C:C,_xlfn.XLOOKUP(A389,'Historical backend'!B:B,'Historical backend'!C:C))</f>
        <v>1390</v>
      </c>
      <c r="D388" s="29">
        <f>_xlfn.XLOOKUP(A388,'Historical backend'!L:L,'Historical backend'!M:M)</f>
        <v>23215</v>
      </c>
      <c r="E388" s="29">
        <f t="shared" si="31"/>
        <v>1440</v>
      </c>
      <c r="F388" s="42">
        <f t="shared" si="32"/>
        <v>33429.599999999999</v>
      </c>
      <c r="G388" s="42">
        <f t="shared" si="33"/>
        <v>32733.15</v>
      </c>
      <c r="H388" s="38">
        <f t="shared" si="34"/>
        <v>3112.9377557613616</v>
      </c>
      <c r="I388" s="42">
        <f t="shared" si="30"/>
        <v>-2634.2090000000026</v>
      </c>
    </row>
    <row r="389" spans="1:9" x14ac:dyDescent="0.55000000000000004">
      <c r="A389" s="33">
        <f>'Historical backend'!G393</f>
        <v>43573</v>
      </c>
      <c r="B389" s="29">
        <f>'Historical backend'!H393</f>
        <v>50</v>
      </c>
      <c r="C389" s="29">
        <f>_xlfn.XLOOKUP(A389,'Historical backend'!B:B,'Historical backend'!C:C,_xlfn.XLOOKUP(A390,'Historical backend'!B:B,'Historical backend'!C:C))</f>
        <v>1416</v>
      </c>
      <c r="D389" s="29">
        <f>_xlfn.XLOOKUP(A389,'Historical backend'!L:L,'Historical backend'!M:M)</f>
        <v>23203</v>
      </c>
      <c r="E389" s="29">
        <f t="shared" si="31"/>
        <v>1466</v>
      </c>
      <c r="F389" s="42">
        <f t="shared" si="32"/>
        <v>34015.597999999998</v>
      </c>
      <c r="G389" s="42">
        <f t="shared" si="33"/>
        <v>33319.508000000002</v>
      </c>
      <c r="H389" s="38">
        <f t="shared" si="34"/>
        <v>3089.2769038486404</v>
      </c>
      <c r="I389" s="42">
        <f t="shared" si="30"/>
        <v>-2163.8965000000026</v>
      </c>
    </row>
    <row r="390" spans="1:9" x14ac:dyDescent="0.55000000000000004">
      <c r="A390" s="33">
        <f>'Historical backend'!G394</f>
        <v>43566</v>
      </c>
      <c r="B390" s="29">
        <f>'Historical backend'!H394</f>
        <v>50</v>
      </c>
      <c r="C390" s="29">
        <f>_xlfn.XLOOKUP(A390,'Historical backend'!B:B,'Historical backend'!C:C,_xlfn.XLOOKUP(A391,'Historical backend'!B:B,'Historical backend'!C:C))</f>
        <v>1421</v>
      </c>
      <c r="D390" s="29">
        <f>_xlfn.XLOOKUP(A390,'Historical backend'!L:L,'Historical backend'!M:M)</f>
        <v>23196</v>
      </c>
      <c r="E390" s="29">
        <f t="shared" si="31"/>
        <v>1471</v>
      </c>
      <c r="F390" s="42">
        <f t="shared" si="32"/>
        <v>34121.315999999999</v>
      </c>
      <c r="G390" s="42">
        <f t="shared" si="33"/>
        <v>33425.436000000002</v>
      </c>
      <c r="H390" s="38">
        <f t="shared" si="34"/>
        <v>3085.6425245732021</v>
      </c>
      <c r="I390" s="42">
        <f t="shared" si="30"/>
        <v>-1776.3735000000015</v>
      </c>
    </row>
    <row r="391" spans="1:9" x14ac:dyDescent="0.55000000000000004">
      <c r="A391" s="33">
        <f>'Historical backend'!G395</f>
        <v>43559</v>
      </c>
      <c r="B391" s="29">
        <f>'Historical backend'!H395</f>
        <v>30</v>
      </c>
      <c r="C391" s="29">
        <f>_xlfn.XLOOKUP(A391,'Historical backend'!B:B,'Historical backend'!C:C,_xlfn.XLOOKUP(A392,'Historical backend'!B:B,'Historical backend'!C:C))</f>
        <v>1465</v>
      </c>
      <c r="D391" s="29">
        <f>_xlfn.XLOOKUP(A391,'Historical backend'!L:L,'Historical backend'!M:M)</f>
        <v>23198</v>
      </c>
      <c r="E391" s="29">
        <f t="shared" si="31"/>
        <v>1495</v>
      </c>
      <c r="F391" s="42">
        <f t="shared" si="32"/>
        <v>34681.01</v>
      </c>
      <c r="G391" s="42">
        <f t="shared" si="33"/>
        <v>33985.07</v>
      </c>
      <c r="H391" s="38">
        <f t="shared" si="34"/>
        <v>3061.2522631261313</v>
      </c>
      <c r="I391" s="42">
        <f t="shared" si="30"/>
        <v>-1549.4724999999962</v>
      </c>
    </row>
    <row r="392" spans="1:9" x14ac:dyDescent="0.55000000000000004">
      <c r="A392" s="33">
        <f>'Historical backend'!G396</f>
        <v>43552</v>
      </c>
      <c r="B392" s="29">
        <f>'Historical backend'!H396</f>
        <v>30</v>
      </c>
      <c r="C392" s="29">
        <f>_xlfn.XLOOKUP(A392,'Historical backend'!B:B,'Historical backend'!C:C,_xlfn.XLOOKUP(A393,'Historical backend'!B:B,'Historical backend'!C:C))</f>
        <v>1492</v>
      </c>
      <c r="D392" s="29">
        <f>_xlfn.XLOOKUP(A392,'Historical backend'!L:L,'Historical backend'!M:M)</f>
        <v>23200</v>
      </c>
      <c r="E392" s="29">
        <f t="shared" si="31"/>
        <v>1522</v>
      </c>
      <c r="F392" s="42">
        <f t="shared" si="32"/>
        <v>35310.400000000001</v>
      </c>
      <c r="G392" s="42">
        <f t="shared" si="33"/>
        <v>34614.400000000001</v>
      </c>
      <c r="H392" s="38">
        <f t="shared" si="34"/>
        <v>3033.8620689655172</v>
      </c>
      <c r="I392" s="42">
        <f t="shared" si="30"/>
        <v>-1433.8537499999948</v>
      </c>
    </row>
    <row r="393" spans="1:9" x14ac:dyDescent="0.55000000000000004">
      <c r="A393" s="33">
        <f>'Historical backend'!G397</f>
        <v>43545</v>
      </c>
      <c r="B393" s="29">
        <f>'Historical backend'!H397</f>
        <v>30</v>
      </c>
      <c r="C393" s="29">
        <f>_xlfn.XLOOKUP(A393,'Historical backend'!B:B,'Historical backend'!C:C,_xlfn.XLOOKUP(A394,'Historical backend'!B:B,'Historical backend'!C:C))</f>
        <v>1503</v>
      </c>
      <c r="D393" s="29">
        <f>_xlfn.XLOOKUP(A393,'Historical backend'!L:L,'Historical backend'!M:M)</f>
        <v>23200</v>
      </c>
      <c r="E393" s="29">
        <f t="shared" si="31"/>
        <v>1533</v>
      </c>
      <c r="F393" s="42">
        <f t="shared" si="32"/>
        <v>35565.599999999999</v>
      </c>
      <c r="G393" s="42">
        <f t="shared" si="33"/>
        <v>34869.599999999999</v>
      </c>
      <c r="H393" s="38">
        <f t="shared" si="34"/>
        <v>3022.8620689655168</v>
      </c>
      <c r="I393" s="42">
        <f t="shared" si="30"/>
        <v>-1449.9383333333317</v>
      </c>
    </row>
    <row r="394" spans="1:9" x14ac:dyDescent="0.55000000000000004">
      <c r="A394" s="33">
        <f>'Historical backend'!G398</f>
        <v>43538</v>
      </c>
      <c r="B394" s="29">
        <f>'Historical backend'!H398</f>
        <v>20</v>
      </c>
      <c r="C394" s="29">
        <f>_xlfn.XLOOKUP(A394,'Historical backend'!B:B,'Historical backend'!C:C,_xlfn.XLOOKUP(A395,'Historical backend'!B:B,'Historical backend'!C:C))</f>
        <v>1490</v>
      </c>
      <c r="D394" s="29">
        <f>_xlfn.XLOOKUP(A394,'Historical backend'!L:L,'Historical backend'!M:M)</f>
        <v>23198</v>
      </c>
      <c r="E394" s="29">
        <f t="shared" si="31"/>
        <v>1510</v>
      </c>
      <c r="F394" s="42">
        <f t="shared" si="32"/>
        <v>35028.980000000003</v>
      </c>
      <c r="G394" s="42">
        <f t="shared" si="33"/>
        <v>34333.040000000001</v>
      </c>
      <c r="H394" s="38">
        <f t="shared" si="34"/>
        <v>3046.2522631261309</v>
      </c>
      <c r="I394" s="42">
        <f t="shared" si="30"/>
        <v>-1609.7075000000041</v>
      </c>
    </row>
    <row r="395" spans="1:9" x14ac:dyDescent="0.55000000000000004">
      <c r="A395" s="33">
        <f>'Historical backend'!G399</f>
        <v>43531</v>
      </c>
      <c r="B395" s="29">
        <f>'Historical backend'!H399</f>
        <v>10</v>
      </c>
      <c r="C395" s="29">
        <f>_xlfn.XLOOKUP(A395,'Historical backend'!B:B,'Historical backend'!C:C,_xlfn.XLOOKUP(A396,'Historical backend'!B:B,'Historical backend'!C:C))</f>
        <v>1505</v>
      </c>
      <c r="D395" s="29">
        <f>_xlfn.XLOOKUP(A395,'Historical backend'!L:L,'Historical backend'!M:M)</f>
        <v>23197</v>
      </c>
      <c r="E395" s="29">
        <f t="shared" si="31"/>
        <v>1515</v>
      </c>
      <c r="F395" s="42">
        <f t="shared" si="32"/>
        <v>35143.455000000002</v>
      </c>
      <c r="G395" s="42">
        <f t="shared" si="33"/>
        <v>34447.544999999998</v>
      </c>
      <c r="H395" s="38">
        <f t="shared" si="34"/>
        <v>3041.447385437772</v>
      </c>
      <c r="I395" s="42">
        <f t="shared" si="30"/>
        <v>-1552.4550000000017</v>
      </c>
    </row>
  </sheetData>
  <mergeCells count="3">
    <mergeCell ref="P2:Q2"/>
    <mergeCell ref="P4:Q4"/>
    <mergeCell ref="P6:Q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B559-A414-48ED-B014-29333656E10A}">
  <sheetPr codeName="Sheet5"/>
  <dimension ref="A1"/>
  <sheetViews>
    <sheetView workbookViewId="0">
      <selection activeCell="F10" sqref="F10"/>
    </sheetView>
  </sheetViews>
  <sheetFormatPr defaultRowHeight="14.4" x14ac:dyDescent="0.55000000000000004"/>
  <cols>
    <col min="1" max="1" width="14.15625" bestFit="1" customWidth="1"/>
  </cols>
  <sheetData>
    <row r="1" spans="1:1" x14ac:dyDescent="0.55000000000000004">
      <c r="A1" s="39">
        <f ca="1">NOW()</f>
        <v>46322.585365509258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90B2996DF3E45915F15AF5E7A2A87" ma:contentTypeVersion="14" ma:contentTypeDescription="Create a new document." ma:contentTypeScope="" ma:versionID="9f72da8133fccdc35987523adab35aee">
  <xsd:schema xmlns:xsd="http://www.w3.org/2001/XMLSchema" xmlns:xs="http://www.w3.org/2001/XMLSchema" xmlns:p="http://schemas.microsoft.com/office/2006/metadata/properties" xmlns:ns2="47512aee-9d78-4d0f-a8e9-b9fe07c693bf" xmlns:ns3="c4b1f387-67e6-41bb-9209-e5d19657c4ac" targetNamespace="http://schemas.microsoft.com/office/2006/metadata/properties" ma:root="true" ma:fieldsID="9e7a872be543a166d7589466ef23a88a" ns2:_="" ns3:_="">
    <xsd:import namespace="47512aee-9d78-4d0f-a8e9-b9fe07c693bf"/>
    <xsd:import namespace="c4b1f387-67e6-41bb-9209-e5d19657c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2aee-9d78-4d0f-a8e9-b9fe07c69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1f387-67e6-41bb-9209-e5d19657c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b7f4b5d-7dc3-4d1c-a65b-d5af8b23fa37}" ma:internalName="TaxCatchAll" ma:showField="CatchAllData" ma:web="c4b1f387-67e6-41bb-9209-e5d19657c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512aee-9d78-4d0f-a8e9-b9fe07c693bf">
      <Terms xmlns="http://schemas.microsoft.com/office/infopath/2007/PartnerControls"/>
    </lcf76f155ced4ddcb4097134ff3c332f>
    <TaxCatchAll xmlns="c4b1f387-67e6-41bb-9209-e5d19657c4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DCEF7-B349-43FE-A82F-DC3BBD81A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12aee-9d78-4d0f-a8e9-b9fe07c693bf"/>
    <ds:schemaRef ds:uri="c4b1f387-67e6-41bb-9209-e5d19657c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3FE455-BC95-44E7-B0DE-BFFF3CA54DC7}">
  <ds:schemaRefs>
    <ds:schemaRef ds:uri="http://schemas.microsoft.com/office/2006/metadata/properties"/>
    <ds:schemaRef ds:uri="http://schemas.microsoft.com/office/infopath/2007/PartnerControls"/>
    <ds:schemaRef ds:uri="47512aee-9d78-4d0f-a8e9-b9fe07c693bf"/>
    <ds:schemaRef ds:uri="c4b1f387-67e6-41bb-9209-e5d19657c4ac"/>
  </ds:schemaRefs>
</ds:datastoreItem>
</file>

<file path=customXml/itemProps3.xml><?xml version="1.0" encoding="utf-8"?>
<ds:datastoreItem xmlns:ds="http://schemas.openxmlformats.org/officeDocument/2006/customXml" ds:itemID="{113B45B6-DE3D-4A23-B3DB-87294376573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Dashboard</vt:lpstr>
      <vt:lpstr>Historical backend</vt:lpstr>
      <vt:lpstr>HISTORICAL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Virat Arya</dc:creator>
  <cp:keywords/>
  <dc:description/>
  <cp:lastModifiedBy>Virat Arya</cp:lastModifiedBy>
  <cp:revision/>
  <dcterms:created xsi:type="dcterms:W3CDTF">2023-09-14T09:16:53Z</dcterms:created>
  <dcterms:modified xsi:type="dcterms:W3CDTF">2026-10-27T13:02:55Z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0x01010067390B2996DF3E45915F15AF5E7A2A87</vt:lpwstr>
  </property>
  <property fmtid="{D5CDD505-2E9C-101B-9397-08002B2CF9AE}" pid="3" name="MediaServiceImageTags">
    <vt:lpwstr/>
  </property>
</Properties>
</file>